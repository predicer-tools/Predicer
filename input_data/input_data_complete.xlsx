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sdennis\HOPE\Predicer\input_data\"/>
    </mc:Choice>
  </mc:AlternateContent>
  <xr:revisionPtr revIDLastSave="0" documentId="13_ncr:1_{DCBDD35B-D2FB-4EFE-837E-62DBC33BA7FD}" xr6:coauthVersionLast="47" xr6:coauthVersionMax="47" xr10:uidLastSave="{00000000-0000-0000-0000-000000000000}"/>
  <bookViews>
    <workbookView xWindow="-108" yWindow="-108" windowWidth="23256" windowHeight="12576" tabRatio="796" firstSheet="4" activeTab="14" xr2:uid="{788BFBD1-D930-4535-8A91-D85C56924796}"/>
  </bookViews>
  <sheets>
    <sheet name="timeseries" sheetId="18" r:id="rId1"/>
    <sheet name="setup" sheetId="26" r:id="rId2"/>
    <sheet name="nodes" sheetId="1" r:id="rId3"/>
    <sheet name="processes" sheetId="2" r:id="rId4"/>
    <sheet name="groups" sheetId="21" r:id="rId5"/>
    <sheet name="efficiencies" sheetId="10" r:id="rId6"/>
    <sheet name="process_topology" sheetId="6" r:id="rId7"/>
    <sheet name="node_history" sheetId="19" r:id="rId8"/>
    <sheet name="node_delay" sheetId="25" r:id="rId9"/>
    <sheet name="node_diffusion" sheetId="24" r:id="rId10"/>
    <sheet name="reserve_type" sheetId="13" r:id="rId11"/>
    <sheet name="cf" sheetId="7" r:id="rId12"/>
    <sheet name="inflow" sheetId="3" r:id="rId13"/>
    <sheet name="inflow_blocks" sheetId="22" r:id="rId14"/>
    <sheet name="flex_inflow" sheetId="29" r:id="rId15"/>
    <sheet name="price" sheetId="4" r:id="rId16"/>
    <sheet name="markets" sheetId="5" r:id="rId17"/>
    <sheet name="bid_slots" sheetId="27" r:id="rId18"/>
    <sheet name="reserve_realisation" sheetId="23" r:id="rId19"/>
    <sheet name="market_prices" sheetId="8" r:id="rId20"/>
    <sheet name="balance_prices" sheetId="20" r:id="rId21"/>
    <sheet name="reserve_activation_price" sheetId="28" r:id="rId22"/>
    <sheet name="risk" sheetId="17" r:id="rId23"/>
    <sheet name="scenarios" sheetId="9" r:id="rId24"/>
    <sheet name="fixed_ts" sheetId="11" r:id="rId25"/>
    <sheet name="eff_ts" sheetId="12" r:id="rId26"/>
    <sheet name="constraints" sheetId="14" r:id="rId27"/>
    <sheet name="gen_constraint" sheetId="15" r:id="rId28"/>
    <sheet name="cap_ts" sheetId="16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5" i="20" l="1"/>
  <c r="C5" i="20"/>
  <c r="D5" i="20"/>
  <c r="E5" i="20"/>
  <c r="F5" i="20"/>
  <c r="G5" i="20"/>
  <c r="B6" i="20"/>
  <c r="C6" i="20"/>
  <c r="D6" i="20"/>
  <c r="E6" i="20"/>
  <c r="F6" i="20"/>
  <c r="G6" i="20"/>
  <c r="L6" i="3"/>
  <c r="M6" i="3" s="1"/>
  <c r="L5" i="3"/>
  <c r="M5" i="3" s="1"/>
  <c r="I6" i="3"/>
  <c r="J6" i="3" s="1"/>
  <c r="J5" i="3"/>
  <c r="I5" i="3"/>
  <c r="G5" i="3"/>
  <c r="E5" i="3"/>
  <c r="F5" i="3"/>
  <c r="E6" i="3"/>
  <c r="G6" i="3" s="1"/>
  <c r="F6" i="3"/>
  <c r="D6" i="3"/>
  <c r="D5" i="3"/>
  <c r="G4" i="20"/>
  <c r="D4" i="20"/>
  <c r="G2" i="20"/>
  <c r="G3" i="20"/>
  <c r="D2" i="20"/>
  <c r="D3" i="20"/>
  <c r="O7" i="1"/>
  <c r="A25" i="24" l="1"/>
  <c r="A24" i="24"/>
  <c r="A23" i="24"/>
  <c r="A22" i="24"/>
  <c r="A21" i="24"/>
  <c r="A20" i="24"/>
  <c r="A19" i="24"/>
  <c r="A18" i="24"/>
  <c r="A17" i="24"/>
  <c r="A16" i="24"/>
  <c r="A15" i="24"/>
  <c r="A14" i="24"/>
  <c r="A13" i="24"/>
  <c r="A12" i="24"/>
  <c r="A11" i="24"/>
  <c r="A10" i="24"/>
  <c r="A9" i="24"/>
  <c r="A8" i="24"/>
  <c r="A7" i="24"/>
  <c r="A6" i="24"/>
  <c r="A5" i="24"/>
  <c r="A4" i="24"/>
  <c r="A3" i="24"/>
  <c r="A2" i="24"/>
  <c r="A25" i="27" l="1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7" i="27"/>
  <c r="A6" i="27"/>
  <c r="A5" i="27"/>
  <c r="A4" i="27"/>
  <c r="A3" i="27"/>
  <c r="A2" i="27"/>
  <c r="A25" i="28" l="1"/>
  <c r="A24" i="28"/>
  <c r="A23" i="28"/>
  <c r="A22" i="28"/>
  <c r="A21" i="28"/>
  <c r="A20" i="28"/>
  <c r="A19" i="28"/>
  <c r="A18" i="28"/>
  <c r="A17" i="28"/>
  <c r="A16" i="28"/>
  <c r="A15" i="28"/>
  <c r="A14" i="28"/>
  <c r="A13" i="28"/>
  <c r="A12" i="28"/>
  <c r="A11" i="28"/>
  <c r="A10" i="28"/>
  <c r="A9" i="28"/>
  <c r="A8" i="28"/>
  <c r="A7" i="28"/>
  <c r="A6" i="28"/>
  <c r="A5" i="28"/>
  <c r="A4" i="28"/>
  <c r="A3" i="28"/>
  <c r="A2" i="28"/>
  <c r="A25" i="23" l="1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A6" i="23"/>
  <c r="A5" i="23"/>
  <c r="A4" i="23"/>
  <c r="A3" i="23"/>
  <c r="A2" i="23"/>
  <c r="E3" i="20" l="1"/>
  <c r="F3" i="20"/>
  <c r="E4" i="20"/>
  <c r="F4" i="20"/>
  <c r="F2" i="20"/>
  <c r="E2" i="20"/>
  <c r="C3" i="20"/>
  <c r="C4" i="20"/>
  <c r="C2" i="20"/>
  <c r="B3" i="20"/>
  <c r="B4" i="20"/>
  <c r="B2" i="20"/>
  <c r="A25" i="20"/>
  <c r="A24" i="20"/>
  <c r="A23" i="20"/>
  <c r="A22" i="20"/>
  <c r="A21" i="20"/>
  <c r="A20" i="20"/>
  <c r="A19" i="20"/>
  <c r="A18" i="20"/>
  <c r="A17" i="20"/>
  <c r="A16" i="20"/>
  <c r="A15" i="20"/>
  <c r="A14" i="20"/>
  <c r="A13" i="20"/>
  <c r="A12" i="20"/>
  <c r="A11" i="20"/>
  <c r="A10" i="20"/>
  <c r="A9" i="20"/>
  <c r="A8" i="20"/>
  <c r="A7" i="20"/>
  <c r="A6" i="20"/>
  <c r="A5" i="20"/>
  <c r="A4" i="20"/>
  <c r="A3" i="20"/>
  <c r="A2" i="20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A3" i="16"/>
  <c r="A2" i="16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A12" i="15"/>
  <c r="A11" i="15"/>
  <c r="A10" i="15"/>
  <c r="A9" i="15"/>
  <c r="A8" i="15"/>
  <c r="A7" i="15"/>
  <c r="A6" i="15"/>
  <c r="A5" i="15"/>
  <c r="A4" i="15"/>
  <c r="A3" i="15"/>
  <c r="A2" i="15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  <c r="A3" i="12"/>
  <c r="A2" i="12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" i="11"/>
  <c r="A2" i="11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A2" i="8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E2" i="3"/>
  <c r="D3" i="3"/>
  <c r="E3" i="3"/>
  <c r="D4" i="3"/>
  <c r="E4" i="3"/>
  <c r="D1" i="10"/>
  <c r="E1" i="10" s="1"/>
  <c r="F1" i="10" s="1"/>
  <c r="G1" i="10" s="1"/>
  <c r="H1" i="10" s="1"/>
  <c r="I1" i="10" s="1"/>
  <c r="J1" i="10" s="1"/>
  <c r="K1" i="10" s="1"/>
  <c r="C1" i="10"/>
</calcChain>
</file>

<file path=xl/sharedStrings.xml><?xml version="1.0" encoding="utf-8"?>
<sst xmlns="http://schemas.openxmlformats.org/spreadsheetml/2006/main" count="283" uniqueCount="187">
  <si>
    <t>node</t>
  </si>
  <si>
    <t>is_commodity</t>
  </si>
  <si>
    <t>is_state</t>
  </si>
  <si>
    <t>state_max</t>
  </si>
  <si>
    <t>in_max</t>
  </si>
  <si>
    <t>out_max</t>
  </si>
  <si>
    <t>is_market</t>
  </si>
  <si>
    <t>ng</t>
  </si>
  <si>
    <t>elc</t>
  </si>
  <si>
    <t>dh</t>
  </si>
  <si>
    <t>is_inflow</t>
  </si>
  <si>
    <t>h2</t>
  </si>
  <si>
    <t>npe</t>
  </si>
  <si>
    <t>process</t>
  </si>
  <si>
    <t>is_cf</t>
  </si>
  <si>
    <t>is_online</t>
  </si>
  <si>
    <t>capacity</t>
  </si>
  <si>
    <t>eff</t>
  </si>
  <si>
    <t>conversion</t>
  </si>
  <si>
    <t>load_max</t>
  </si>
  <si>
    <t>load_min</t>
  </si>
  <si>
    <t>ramp_down</t>
  </si>
  <si>
    <t>ramp_up</t>
  </si>
  <si>
    <t>ngchp</t>
  </si>
  <si>
    <t>hp1</t>
  </si>
  <si>
    <t>p2x1</t>
  </si>
  <si>
    <t>pv1</t>
  </si>
  <si>
    <t>source</t>
  </si>
  <si>
    <t>source_sink</t>
  </si>
  <si>
    <t>sink</t>
  </si>
  <si>
    <t>t</t>
  </si>
  <si>
    <t>market</t>
  </si>
  <si>
    <t>is_res</t>
  </si>
  <si>
    <t>conversion_coeff</t>
  </si>
  <si>
    <t>dh2</t>
  </si>
  <si>
    <t>dh_tra</t>
  </si>
  <si>
    <t>reserve</t>
  </si>
  <si>
    <t>energy</t>
  </si>
  <si>
    <t>fcr_up</t>
  </si>
  <si>
    <t>direction</t>
  </si>
  <si>
    <t>none</t>
  </si>
  <si>
    <t>name</t>
  </si>
  <si>
    <t>propability</t>
  </si>
  <si>
    <t>s1</t>
  </si>
  <si>
    <t>s2</t>
  </si>
  <si>
    <t>s3</t>
  </si>
  <si>
    <t>dh2,s1</t>
  </si>
  <si>
    <t>h2,s1</t>
  </si>
  <si>
    <t>dh2,s2</t>
  </si>
  <si>
    <t>h2,s2</t>
  </si>
  <si>
    <t>dh2,s3</t>
  </si>
  <si>
    <t>h2,s3</t>
  </si>
  <si>
    <t>npe,s1</t>
  </si>
  <si>
    <t>fcr_up,s1</t>
  </si>
  <si>
    <t>npe,s2</t>
  </si>
  <si>
    <t>fcr_up,s2</t>
  </si>
  <si>
    <t>npe,s3</t>
  </si>
  <si>
    <t>fcr_up,s3</t>
  </si>
  <si>
    <t>start_cost</t>
  </si>
  <si>
    <t>min_online</t>
  </si>
  <si>
    <t>min_offline</t>
  </si>
  <si>
    <t>ngchp,op</t>
  </si>
  <si>
    <t>ngchp,eff</t>
  </si>
  <si>
    <t>ramp_factor</t>
  </si>
  <si>
    <t>slow</t>
  </si>
  <si>
    <t>reserve_type</t>
  </si>
  <si>
    <t>res_up</t>
  </si>
  <si>
    <t>is_cf_fix</t>
  </si>
  <si>
    <t>c1</t>
  </si>
  <si>
    <t>eq</t>
  </si>
  <si>
    <t>c1,ngchp,elc,s1</t>
  </si>
  <si>
    <t>c1,ngchp,elc,s2</t>
  </si>
  <si>
    <t>c1,ngchp,elc,s3</t>
  </si>
  <si>
    <t>c1,ngchp,dh,s1</t>
  </si>
  <si>
    <t>c1,ngchp,dh,s2</t>
  </si>
  <si>
    <t>c1,ngchp,dh,s3</t>
  </si>
  <si>
    <t>c1,s1</t>
  </si>
  <si>
    <t>c1,s2</t>
  </si>
  <si>
    <t>c1,s3</t>
  </si>
  <si>
    <t>initial_state</t>
  </si>
  <si>
    <t>hp1,elc,s1</t>
  </si>
  <si>
    <t>hp1,elc,s2</t>
  </si>
  <si>
    <t>hp1,elc,s3</t>
  </si>
  <si>
    <t>delay</t>
  </si>
  <si>
    <t>parameter</t>
  </si>
  <si>
    <t>value</t>
  </si>
  <si>
    <t>alfa</t>
  </si>
  <si>
    <t>beta</t>
  </si>
  <si>
    <t>is_bid</t>
  </si>
  <si>
    <t>state_loss_proportional</t>
  </si>
  <si>
    <t>operator</t>
  </si>
  <si>
    <t>ng, ALL</t>
  </si>
  <si>
    <t>pv1,s1,s2,s3</t>
  </si>
  <si>
    <t>residual_value</t>
  </si>
  <si>
    <t>npe,up,s1</t>
  </si>
  <si>
    <t>npe,up,s2</t>
  </si>
  <si>
    <t>npe,up,s3</t>
  </si>
  <si>
    <t>npe,dw,s1</t>
  </si>
  <si>
    <t>npe,dw,s2</t>
  </si>
  <si>
    <t>npe,dw,s3</t>
  </si>
  <si>
    <t>max_online</t>
  </si>
  <si>
    <t>max_offline</t>
  </si>
  <si>
    <t>entity</t>
  </si>
  <si>
    <t>group</t>
  </si>
  <si>
    <t>is_limited</t>
  </si>
  <si>
    <t>fee</t>
  </si>
  <si>
    <t>min_bid</t>
  </si>
  <si>
    <t>max_bid</t>
  </si>
  <si>
    <t>is_setpoint</t>
  </si>
  <si>
    <t>penalty</t>
  </si>
  <si>
    <t>processgroup</t>
  </si>
  <si>
    <t>p1</t>
  </si>
  <si>
    <t>elc_res</t>
  </si>
  <si>
    <t>node1</t>
  </si>
  <si>
    <t>node2</t>
  </si>
  <si>
    <t>state_min</t>
  </si>
  <si>
    <t>is_temp</t>
  </si>
  <si>
    <t>delay_t</t>
  </si>
  <si>
    <t>min_flow</t>
  </si>
  <si>
    <t>max_flow</t>
  </si>
  <si>
    <t>initial_load</t>
  </si>
  <si>
    <t>use_reserves</t>
  </si>
  <si>
    <t>use_reserve_realisation</t>
  </si>
  <si>
    <t>use_node_dummy_variables</t>
  </si>
  <si>
    <t>use_ramp_dummy_variables</t>
  </si>
  <si>
    <t>use_market_bids</t>
  </si>
  <si>
    <t>common_scenario_name</t>
  </si>
  <si>
    <t>scenario_independent_online</t>
  </si>
  <si>
    <t>scenario_independent_state</t>
  </si>
  <si>
    <t>initial_flow</t>
  </si>
  <si>
    <t>node_dummy_variable_cost</t>
  </si>
  <si>
    <t>ramp_dummy_variable_cost</t>
  </si>
  <si>
    <t>hp1,s1</t>
  </si>
  <si>
    <t>hp1,s2</t>
  </si>
  <si>
    <t>hp1,s3</t>
  </si>
  <si>
    <t>dh_sto</t>
  </si>
  <si>
    <t>ambience</t>
  </si>
  <si>
    <t>delay_source</t>
  </si>
  <si>
    <t>dh_sto_discharge</t>
  </si>
  <si>
    <t>dh_sto_charge</t>
  </si>
  <si>
    <t>dh_source</t>
  </si>
  <si>
    <t>dh_source,s1</t>
  </si>
  <si>
    <t>dh_source,s2</t>
  </si>
  <si>
    <t>dh_source,t,s1</t>
  </si>
  <si>
    <t>dh_source_out</t>
  </si>
  <si>
    <t>delay_source,s1</t>
  </si>
  <si>
    <t>delay_source,s2</t>
  </si>
  <si>
    <t>ambience,s1</t>
  </si>
  <si>
    <t>ambience,s2</t>
  </si>
  <si>
    <t>dh_sto,ambience,s1</t>
  </si>
  <si>
    <t>dh_sto,ambience,s2</t>
  </si>
  <si>
    <t>c2</t>
  </si>
  <si>
    <t>st</t>
  </si>
  <si>
    <t>gt</t>
  </si>
  <si>
    <t>c3</t>
  </si>
  <si>
    <t>c2,dh_sto,s1</t>
  </si>
  <si>
    <t>c2,dh_sto,s2</t>
  </si>
  <si>
    <t>c3,dh_sto,s1</t>
  </si>
  <si>
    <t>c3,dh_sto,s2</t>
  </si>
  <si>
    <t>dh_source,t,s2</t>
  </si>
  <si>
    <t>s_all</t>
  </si>
  <si>
    <t>b1,dh_sto</t>
  </si>
  <si>
    <t>b1,s1</t>
  </si>
  <si>
    <t>b1,s2</t>
  </si>
  <si>
    <t>c2,dh_sto,s3</t>
  </si>
  <si>
    <t>c3,dh_sto,s3</t>
  </si>
  <si>
    <t>b1,s3</t>
  </si>
  <si>
    <t>dh_sto,ambience,s3</t>
  </si>
  <si>
    <t>dh_source,t,s3</t>
  </si>
  <si>
    <t>dh_source,s3</t>
  </si>
  <si>
    <t>ambience,s3</t>
  </si>
  <si>
    <t>delay_source,s3</t>
  </si>
  <si>
    <t>npe,p0</t>
  </si>
  <si>
    <t>npe,p1</t>
  </si>
  <si>
    <t>npe,p2</t>
  </si>
  <si>
    <t>npe,p3</t>
  </si>
  <si>
    <t>vom_cost</t>
  </si>
  <si>
    <t>t_e_conversion</t>
  </si>
  <si>
    <t>market_type</t>
  </si>
  <si>
    <t>group_type</t>
  </si>
  <si>
    <t>common_start_timesteps</t>
  </si>
  <si>
    <t>common_end_timesteps</t>
  </si>
  <si>
    <t>period_name</t>
  </si>
  <si>
    <t>scenario</t>
  </si>
  <si>
    <t>t_start</t>
  </si>
  <si>
    <t>t_end</t>
  </si>
  <si>
    <t>inflow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</si>
</sst>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\ h:mm;@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53E69-3A75-490E-847C-66A9CF6C1FC5}">
  <dimension ref="A1:A49"/>
  <sheetViews>
    <sheetView workbookViewId="0">
      <selection activeCell="H8" sqref="H8"/>
    </sheetView>
  </sheetViews>
  <sheetFormatPr defaultRowHeight="14.4" x14ac:dyDescent="0.3"/>
  <cols>
    <col min="1" max="1" width="14.33203125" bestFit="1" customWidth="1"/>
  </cols>
  <sheetData>
    <row r="1" spans="1:1" x14ac:dyDescent="0.3">
      <c r="A1" t="s">
        <v>30</v>
      </c>
    </row>
    <row r="2" spans="1:1" x14ac:dyDescent="0.3">
      <c r="A2" s="3">
        <v>44671</v>
      </c>
    </row>
    <row r="3" spans="1:1" x14ac:dyDescent="0.3">
      <c r="A3" s="3">
        <v>44671.041666666664</v>
      </c>
    </row>
    <row r="4" spans="1:1" x14ac:dyDescent="0.3">
      <c r="A4" s="3">
        <v>44671.08333321759</v>
      </c>
    </row>
    <row r="5" spans="1:1" x14ac:dyDescent="0.3">
      <c r="A5" s="3">
        <v>44671.125</v>
      </c>
    </row>
    <row r="6" spans="1:1" x14ac:dyDescent="0.3">
      <c r="A6" s="3">
        <v>44671.166666666664</v>
      </c>
    </row>
    <row r="7" spans="1:1" x14ac:dyDescent="0.3">
      <c r="A7" s="3"/>
    </row>
    <row r="8" spans="1:1" x14ac:dyDescent="0.3">
      <c r="A8" s="3"/>
    </row>
    <row r="9" spans="1:1" x14ac:dyDescent="0.3">
      <c r="A9" s="3"/>
    </row>
    <row r="10" spans="1:1" x14ac:dyDescent="0.3">
      <c r="A10" s="3"/>
    </row>
    <row r="11" spans="1:1" x14ac:dyDescent="0.3">
      <c r="A11" s="3"/>
    </row>
    <row r="12" spans="1:1" x14ac:dyDescent="0.3">
      <c r="A12" s="3"/>
    </row>
    <row r="13" spans="1:1" x14ac:dyDescent="0.3">
      <c r="A13" s="3"/>
    </row>
    <row r="14" spans="1:1" x14ac:dyDescent="0.3">
      <c r="A14" s="3"/>
    </row>
    <row r="15" spans="1:1" x14ac:dyDescent="0.3">
      <c r="A15" s="3"/>
    </row>
    <row r="16" spans="1:1" x14ac:dyDescent="0.3">
      <c r="A16" s="3"/>
    </row>
    <row r="17" spans="1:1" x14ac:dyDescent="0.3">
      <c r="A17" s="3"/>
    </row>
    <row r="18" spans="1:1" x14ac:dyDescent="0.3">
      <c r="A18" s="3"/>
    </row>
    <row r="19" spans="1:1" x14ac:dyDescent="0.3">
      <c r="A19" s="3"/>
    </row>
    <row r="20" spans="1:1" x14ac:dyDescent="0.3">
      <c r="A20" s="3"/>
    </row>
    <row r="21" spans="1:1" x14ac:dyDescent="0.3">
      <c r="A21" s="3"/>
    </row>
    <row r="22" spans="1:1" x14ac:dyDescent="0.3">
      <c r="A22" s="3"/>
    </row>
    <row r="23" spans="1:1" x14ac:dyDescent="0.3">
      <c r="A23" s="3"/>
    </row>
    <row r="24" spans="1:1" x14ac:dyDescent="0.3">
      <c r="A24" s="3"/>
    </row>
    <row r="25" spans="1:1" x14ac:dyDescent="0.3">
      <c r="A25" s="3"/>
    </row>
    <row r="26" spans="1:1" x14ac:dyDescent="0.3">
      <c r="A26" s="3"/>
    </row>
    <row r="27" spans="1:1" x14ac:dyDescent="0.3">
      <c r="A27" s="3"/>
    </row>
    <row r="28" spans="1:1" x14ac:dyDescent="0.3">
      <c r="A28" s="3"/>
    </row>
    <row r="29" spans="1:1" x14ac:dyDescent="0.3">
      <c r="A29" s="3"/>
    </row>
    <row r="30" spans="1:1" x14ac:dyDescent="0.3">
      <c r="A30" s="3"/>
    </row>
    <row r="31" spans="1:1" x14ac:dyDescent="0.3">
      <c r="A31" s="3"/>
    </row>
    <row r="32" spans="1:1" x14ac:dyDescent="0.3">
      <c r="A32" s="3"/>
    </row>
    <row r="33" spans="1:1" x14ac:dyDescent="0.3">
      <c r="A33" s="3"/>
    </row>
    <row r="34" spans="1:1" x14ac:dyDescent="0.3">
      <c r="A34" s="3"/>
    </row>
    <row r="35" spans="1:1" x14ac:dyDescent="0.3">
      <c r="A35" s="3"/>
    </row>
    <row r="36" spans="1:1" x14ac:dyDescent="0.3">
      <c r="A36" s="3"/>
    </row>
    <row r="37" spans="1:1" x14ac:dyDescent="0.3">
      <c r="A37" s="3"/>
    </row>
    <row r="38" spans="1:1" x14ac:dyDescent="0.3">
      <c r="A38" s="3"/>
    </row>
    <row r="39" spans="1:1" x14ac:dyDescent="0.3">
      <c r="A39" s="3"/>
    </row>
    <row r="40" spans="1:1" x14ac:dyDescent="0.3">
      <c r="A40" s="3"/>
    </row>
    <row r="41" spans="1:1" x14ac:dyDescent="0.3">
      <c r="A41" s="3"/>
    </row>
    <row r="42" spans="1:1" x14ac:dyDescent="0.3">
      <c r="A42" s="3"/>
    </row>
    <row r="43" spans="1:1" x14ac:dyDescent="0.3">
      <c r="A43" s="3"/>
    </row>
    <row r="44" spans="1:1" x14ac:dyDescent="0.3">
      <c r="A44" s="3"/>
    </row>
    <row r="45" spans="1:1" x14ac:dyDescent="0.3">
      <c r="A45" s="3"/>
    </row>
    <row r="46" spans="1:1" x14ac:dyDescent="0.3">
      <c r="A46" s="3"/>
    </row>
    <row r="47" spans="1:1" x14ac:dyDescent="0.3">
      <c r="A47" s="3"/>
    </row>
    <row r="48" spans="1:1" x14ac:dyDescent="0.3">
      <c r="A48" s="3"/>
    </row>
    <row r="49" spans="1:1" x14ac:dyDescent="0.3">
      <c r="A49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4B08-6930-4D2B-BCBB-C78CE759E704}">
  <dimension ref="A1:B11"/>
  <sheetViews>
    <sheetView workbookViewId="0">
      <selection activeCell="A9" sqref="A9:A10"/>
    </sheetView>
  </sheetViews>
  <sheetFormatPr defaultRowHeight="14.4" x14ac:dyDescent="0.3"/>
  <cols>
    <col min="1" max="1" width="27" bestFit="1" customWidth="1"/>
    <col min="2" max="2" width="8" bestFit="1" customWidth="1"/>
  </cols>
  <sheetData>
    <row r="1" spans="1:2" x14ac:dyDescent="0.3">
      <c r="A1" s="1" t="s">
        <v>84</v>
      </c>
      <c r="B1" s="1" t="s">
        <v>85</v>
      </c>
    </row>
    <row r="2" spans="1:2" x14ac:dyDescent="0.3">
      <c r="A2" t="s">
        <v>125</v>
      </c>
      <c r="B2">
        <v>1</v>
      </c>
    </row>
    <row r="3" spans="1:2" x14ac:dyDescent="0.3">
      <c r="A3" t="s">
        <v>121</v>
      </c>
      <c r="B3">
        <v>1</v>
      </c>
    </row>
    <row r="4" spans="1:2" x14ac:dyDescent="0.3">
      <c r="A4" t="s">
        <v>122</v>
      </c>
      <c r="B4">
        <v>1</v>
      </c>
    </row>
    <row r="5" spans="1:2" x14ac:dyDescent="0.3">
      <c r="A5" t="s">
        <v>123</v>
      </c>
      <c r="B5">
        <v>1</v>
      </c>
    </row>
    <row r="6" spans="1:2" x14ac:dyDescent="0.3">
      <c r="A6" t="s">
        <v>124</v>
      </c>
      <c r="B6">
        <v>1</v>
      </c>
    </row>
    <row r="7" spans="1:2" x14ac:dyDescent="0.3">
      <c r="A7" t="s">
        <v>130</v>
      </c>
      <c r="B7">
        <v>10000</v>
      </c>
    </row>
    <row r="8" spans="1:2" x14ac:dyDescent="0.3">
      <c r="A8" t="s">
        <v>131</v>
      </c>
      <c r="B8">
        <v>10000</v>
      </c>
    </row>
    <row r="9" spans="1:2" x14ac:dyDescent="0.3">
      <c r="A9" t="s">
        <v>180</v>
      </c>
      <c r="B9">
        <v>2</v>
      </c>
    </row>
    <row r="10" spans="1:2" x14ac:dyDescent="0.3">
      <c r="A10" t="s">
        <v>181</v>
      </c>
      <c r="B10">
        <v>2</v>
      </c>
    </row>
    <row r="11" spans="1:2" x14ac:dyDescent="0.3">
      <c r="A11" t="s">
        <v>126</v>
      </c>
      <c r="B11" t="s">
        <v>160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1B16B-CDA9-46BD-BA51-731AA9327652}">
  <dimension ref="A1:P10"/>
  <sheetViews>
    <sheetView workbookViewId="0">
      <selection activeCell="F17" sqref="F17"/>
    </sheetView>
  </sheetViews>
  <sheetFormatPr defaultRowHeight="14.4" x14ac:dyDescent="0.3"/>
  <cols>
    <col min="1" max="1" width="11.6640625" bestFit="1" customWidth="1"/>
    <col min="2" max="2" width="13.5546875" bestFit="1" customWidth="1"/>
    <col min="3" max="3" width="7.88671875" bestFit="1" customWidth="1"/>
    <col min="4" max="4" width="6.109375" bestFit="1" customWidth="1"/>
    <col min="5" max="5" width="9.6640625" bestFit="1" customWidth="1"/>
    <col min="6" max="6" width="9.109375" bestFit="1" customWidth="1"/>
    <col min="7" max="7" width="10.109375" bestFit="1" customWidth="1"/>
    <col min="8" max="8" width="7.44140625" bestFit="1" customWidth="1"/>
    <col min="9" max="10" width="10" bestFit="1" customWidth="1"/>
  </cols>
  <sheetData>
    <row r="1" spans="1:16" s="1" customFormat="1" x14ac:dyDescent="0.3">
      <c r="A1" s="1" t="s">
        <v>0</v>
      </c>
      <c r="B1" s="1" t="s">
        <v>1</v>
      </c>
      <c r="C1" s="1" t="s">
        <v>2</v>
      </c>
      <c r="D1" s="1" t="s">
        <v>32</v>
      </c>
      <c r="E1" s="1" t="s">
        <v>6</v>
      </c>
      <c r="F1" s="1" t="s">
        <v>10</v>
      </c>
      <c r="G1" s="1" t="s">
        <v>3</v>
      </c>
      <c r="H1" s="1" t="s">
        <v>115</v>
      </c>
      <c r="I1" s="1" t="s">
        <v>4</v>
      </c>
      <c r="J1" s="1" t="s">
        <v>5</v>
      </c>
      <c r="K1" s="1" t="s">
        <v>79</v>
      </c>
      <c r="L1" s="1" t="s">
        <v>89</v>
      </c>
      <c r="M1" s="1" t="s">
        <v>128</v>
      </c>
      <c r="N1" s="1" t="s">
        <v>116</v>
      </c>
      <c r="O1" s="1" t="s">
        <v>177</v>
      </c>
      <c r="P1" s="1" t="s">
        <v>93</v>
      </c>
    </row>
    <row r="2" spans="1:16" x14ac:dyDescent="0.3">
      <c r="A2" t="s">
        <v>7</v>
      </c>
      <c r="B2" s="2">
        <v>1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1</v>
      </c>
      <c r="P2" s="2">
        <v>0</v>
      </c>
    </row>
    <row r="3" spans="1:16" x14ac:dyDescent="0.3">
      <c r="A3" t="s">
        <v>8</v>
      </c>
      <c r="B3" s="2">
        <v>0</v>
      </c>
      <c r="C3" s="2">
        <v>0</v>
      </c>
      <c r="D3" s="2">
        <v>1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1</v>
      </c>
      <c r="P3" s="2">
        <v>0</v>
      </c>
    </row>
    <row r="4" spans="1:16" x14ac:dyDescent="0.3">
      <c r="A4" t="s">
        <v>9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1</v>
      </c>
      <c r="P4" s="2">
        <v>0</v>
      </c>
    </row>
    <row r="5" spans="1:16" x14ac:dyDescent="0.3">
      <c r="A5" t="s">
        <v>11</v>
      </c>
      <c r="B5" s="2">
        <v>0</v>
      </c>
      <c r="C5" s="2">
        <v>1</v>
      </c>
      <c r="D5" s="2">
        <v>0</v>
      </c>
      <c r="E5" s="2">
        <v>0</v>
      </c>
      <c r="F5" s="2">
        <v>1</v>
      </c>
      <c r="G5" s="2">
        <v>4</v>
      </c>
      <c r="H5" s="2">
        <v>0</v>
      </c>
      <c r="I5" s="2">
        <v>1</v>
      </c>
      <c r="J5" s="2">
        <v>1</v>
      </c>
      <c r="K5" s="2">
        <v>0</v>
      </c>
      <c r="L5" s="2">
        <v>0</v>
      </c>
      <c r="M5" s="2">
        <v>0</v>
      </c>
      <c r="N5" s="2">
        <v>0</v>
      </c>
      <c r="O5" s="2">
        <v>1</v>
      </c>
      <c r="P5" s="2">
        <v>0</v>
      </c>
    </row>
    <row r="6" spans="1:16" x14ac:dyDescent="0.3">
      <c r="A6" t="s">
        <v>34</v>
      </c>
      <c r="B6" s="2">
        <v>0</v>
      </c>
      <c r="C6" s="2">
        <v>0</v>
      </c>
      <c r="D6" s="2">
        <v>0</v>
      </c>
      <c r="E6" s="2">
        <v>0</v>
      </c>
      <c r="F6" s="2">
        <v>1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1</v>
      </c>
      <c r="P6" s="2">
        <v>0</v>
      </c>
    </row>
    <row r="7" spans="1:16" x14ac:dyDescent="0.3">
      <c r="A7" t="s">
        <v>135</v>
      </c>
      <c r="B7" s="2">
        <v>0</v>
      </c>
      <c r="C7" s="2">
        <v>1</v>
      </c>
      <c r="D7" s="2">
        <v>0</v>
      </c>
      <c r="E7" s="2">
        <v>0</v>
      </c>
      <c r="F7" s="2">
        <v>0</v>
      </c>
      <c r="G7" s="2">
        <v>393.15</v>
      </c>
      <c r="H7" s="2">
        <v>330.15</v>
      </c>
      <c r="I7" s="2">
        <v>20</v>
      </c>
      <c r="J7" s="2">
        <v>20</v>
      </c>
      <c r="K7" s="2">
        <v>373.15</v>
      </c>
      <c r="L7" s="2">
        <v>0</v>
      </c>
      <c r="M7" s="2">
        <v>0</v>
      </c>
      <c r="N7" s="2">
        <v>1</v>
      </c>
      <c r="O7" s="2">
        <f>1.16388888888889/5</f>
        <v>0.23277777777777803</v>
      </c>
      <c r="P7" s="2">
        <v>20</v>
      </c>
    </row>
    <row r="8" spans="1:16" x14ac:dyDescent="0.3">
      <c r="A8" t="s">
        <v>136</v>
      </c>
      <c r="B8" s="2">
        <v>0</v>
      </c>
      <c r="C8" s="2">
        <v>1</v>
      </c>
      <c r="D8" s="2">
        <v>0</v>
      </c>
      <c r="E8" s="2">
        <v>0</v>
      </c>
      <c r="F8" s="2">
        <v>1</v>
      </c>
      <c r="G8" s="2">
        <v>300.14999999999998</v>
      </c>
      <c r="H8" s="2">
        <v>253.15</v>
      </c>
      <c r="I8" s="2">
        <v>100000000</v>
      </c>
      <c r="J8" s="2">
        <v>100000000</v>
      </c>
      <c r="K8" s="2">
        <v>273.14999999999998</v>
      </c>
      <c r="L8" s="2">
        <v>0</v>
      </c>
      <c r="M8" s="2">
        <v>0</v>
      </c>
      <c r="N8" s="2">
        <v>1</v>
      </c>
      <c r="O8" s="2">
        <v>10000000</v>
      </c>
      <c r="P8" s="2">
        <v>0</v>
      </c>
    </row>
    <row r="9" spans="1:16" x14ac:dyDescent="0.3">
      <c r="A9" t="s">
        <v>137</v>
      </c>
      <c r="B9" s="2">
        <v>0</v>
      </c>
      <c r="C9" s="2">
        <v>0</v>
      </c>
      <c r="D9" s="2">
        <v>0</v>
      </c>
      <c r="E9" s="2">
        <v>0</v>
      </c>
      <c r="F9" s="2">
        <v>1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1</v>
      </c>
      <c r="P9" s="2">
        <v>0</v>
      </c>
    </row>
    <row r="10" spans="1:16" x14ac:dyDescent="0.3">
      <c r="A10" t="s">
        <v>140</v>
      </c>
      <c r="B10" s="2">
        <v>0</v>
      </c>
      <c r="C10" s="2">
        <v>1</v>
      </c>
      <c r="D10" s="2">
        <v>0</v>
      </c>
      <c r="E10" s="2">
        <v>0</v>
      </c>
      <c r="F10" s="2">
        <v>0</v>
      </c>
      <c r="G10" s="2">
        <v>1000</v>
      </c>
      <c r="H10" s="2">
        <v>0</v>
      </c>
      <c r="I10" s="2">
        <v>1000</v>
      </c>
      <c r="J10" s="2">
        <v>1000</v>
      </c>
      <c r="K10" s="2">
        <v>0</v>
      </c>
      <c r="L10" s="2">
        <v>0.9</v>
      </c>
      <c r="M10" s="2">
        <v>0</v>
      </c>
      <c r="N10" s="2">
        <v>0</v>
      </c>
      <c r="O10" s="2">
        <v>1</v>
      </c>
      <c r="P10" s="2">
        <v>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0090B-02A9-43B7-8D03-9C18D42920EB}">
  <dimension ref="A1:Q9"/>
  <sheetViews>
    <sheetView workbookViewId="0">
      <selection activeCell="C18" sqref="C18"/>
    </sheetView>
  </sheetViews>
  <sheetFormatPr defaultRowHeight="14.4" x14ac:dyDescent="0.3"/>
  <cols>
    <col min="1" max="1" width="12.6640625" customWidth="1"/>
    <col min="2" max="2" width="5" bestFit="1" customWidth="1"/>
    <col min="3" max="3" width="8.33203125" bestFit="1" customWidth="1"/>
    <col min="5" max="5" width="6.109375" bestFit="1" customWidth="1"/>
    <col min="6" max="6" width="10.6640625" customWidth="1"/>
    <col min="7" max="7" width="5" bestFit="1" customWidth="1"/>
    <col min="8" max="8" width="9.33203125" bestFit="1" customWidth="1"/>
    <col min="9" max="10" width="9.5546875" bestFit="1" customWidth="1"/>
    <col min="11" max="11" width="11.109375" bestFit="1" customWidth="1"/>
    <col min="12" max="12" width="11.44140625" bestFit="1" customWidth="1"/>
    <col min="13" max="14" width="11.44140625" customWidth="1"/>
  </cols>
  <sheetData>
    <row r="1" spans="1:17" s="1" customFormat="1" x14ac:dyDescent="0.3">
      <c r="A1" s="1" t="s">
        <v>13</v>
      </c>
      <c r="B1" s="1" t="s">
        <v>14</v>
      </c>
      <c r="C1" s="1" t="s">
        <v>67</v>
      </c>
      <c r="D1" s="1" t="s">
        <v>15</v>
      </c>
      <c r="E1" s="1" t="s">
        <v>32</v>
      </c>
      <c r="F1" s="1" t="s">
        <v>18</v>
      </c>
      <c r="G1" s="1" t="s">
        <v>17</v>
      </c>
      <c r="H1" s="1" t="s">
        <v>20</v>
      </c>
      <c r="I1" s="1" t="s">
        <v>19</v>
      </c>
      <c r="J1" s="1" t="s">
        <v>58</v>
      </c>
      <c r="K1" s="1" t="s">
        <v>59</v>
      </c>
      <c r="L1" s="1" t="s">
        <v>60</v>
      </c>
      <c r="M1" s="1" t="s">
        <v>100</v>
      </c>
      <c r="N1" s="1" t="s">
        <v>101</v>
      </c>
      <c r="O1" s="1" t="s">
        <v>79</v>
      </c>
      <c r="P1" s="1" t="s">
        <v>127</v>
      </c>
      <c r="Q1" s="1" t="s">
        <v>83</v>
      </c>
    </row>
    <row r="2" spans="1:17" x14ac:dyDescent="0.3">
      <c r="A2" t="s">
        <v>23</v>
      </c>
      <c r="B2" s="2">
        <v>0</v>
      </c>
      <c r="C2" s="2">
        <v>0</v>
      </c>
      <c r="D2" s="2">
        <v>1</v>
      </c>
      <c r="E2" s="2">
        <v>1</v>
      </c>
      <c r="F2" s="2">
        <v>1</v>
      </c>
      <c r="G2" s="2">
        <v>0.9</v>
      </c>
      <c r="H2" s="2">
        <v>0.3</v>
      </c>
      <c r="I2" s="2">
        <v>1</v>
      </c>
      <c r="J2" s="2">
        <v>0</v>
      </c>
      <c r="K2" s="2">
        <v>4</v>
      </c>
      <c r="L2" s="2">
        <v>3</v>
      </c>
      <c r="M2" s="2">
        <v>0</v>
      </c>
      <c r="N2" s="2">
        <v>0</v>
      </c>
      <c r="O2" s="2">
        <v>1</v>
      </c>
      <c r="P2" s="2">
        <v>1</v>
      </c>
      <c r="Q2" s="2">
        <v>0</v>
      </c>
    </row>
    <row r="3" spans="1:17" x14ac:dyDescent="0.3">
      <c r="A3" t="s">
        <v>24</v>
      </c>
      <c r="B3" s="2">
        <v>0</v>
      </c>
      <c r="C3" s="2">
        <v>0</v>
      </c>
      <c r="D3" s="2">
        <v>0</v>
      </c>
      <c r="E3" s="2">
        <v>1</v>
      </c>
      <c r="F3" s="2">
        <v>1</v>
      </c>
      <c r="G3" s="2">
        <v>3</v>
      </c>
      <c r="H3" s="2">
        <v>0</v>
      </c>
      <c r="I3" s="2">
        <v>1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</row>
    <row r="4" spans="1:17" x14ac:dyDescent="0.3">
      <c r="A4" t="s">
        <v>25</v>
      </c>
      <c r="B4" s="2">
        <v>0</v>
      </c>
      <c r="C4" s="2">
        <v>0</v>
      </c>
      <c r="D4" s="2">
        <v>0</v>
      </c>
      <c r="E4" s="2">
        <v>1</v>
      </c>
      <c r="F4" s="2">
        <v>1</v>
      </c>
      <c r="G4" s="2">
        <v>0.7</v>
      </c>
      <c r="H4" s="2">
        <v>0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</row>
    <row r="5" spans="1:17" x14ac:dyDescent="0.3">
      <c r="A5" t="s">
        <v>26</v>
      </c>
      <c r="B5" s="2">
        <v>1</v>
      </c>
      <c r="C5" s="2">
        <v>1</v>
      </c>
      <c r="D5" s="2">
        <v>0</v>
      </c>
      <c r="E5" s="2">
        <v>0</v>
      </c>
      <c r="F5" s="2">
        <v>1</v>
      </c>
      <c r="G5" s="2">
        <v>1</v>
      </c>
      <c r="H5" s="2">
        <v>0</v>
      </c>
      <c r="I5" s="2">
        <v>1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</row>
    <row r="6" spans="1:17" x14ac:dyDescent="0.3">
      <c r="A6" t="s">
        <v>35</v>
      </c>
      <c r="B6" s="2">
        <v>0</v>
      </c>
      <c r="C6" s="2">
        <v>0</v>
      </c>
      <c r="D6" s="2">
        <v>0</v>
      </c>
      <c r="E6" s="2">
        <v>0</v>
      </c>
      <c r="F6" s="2">
        <v>2</v>
      </c>
      <c r="G6" s="2">
        <v>0.99</v>
      </c>
      <c r="H6" s="2">
        <v>0</v>
      </c>
      <c r="I6" s="2">
        <v>1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</row>
    <row r="7" spans="1:17" x14ac:dyDescent="0.3">
      <c r="A7" t="s">
        <v>139</v>
      </c>
      <c r="B7" s="2">
        <v>0</v>
      </c>
      <c r="C7" s="2">
        <v>0</v>
      </c>
      <c r="D7" s="2">
        <v>0</v>
      </c>
      <c r="E7" s="2">
        <v>0</v>
      </c>
      <c r="F7" s="2">
        <v>1</v>
      </c>
      <c r="G7" s="2">
        <v>0.99</v>
      </c>
      <c r="H7" s="2">
        <v>0</v>
      </c>
      <c r="I7" s="2">
        <v>1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17" x14ac:dyDescent="0.3">
      <c r="A8" t="s">
        <v>138</v>
      </c>
      <c r="B8" s="2">
        <v>0</v>
      </c>
      <c r="C8" s="2">
        <v>0</v>
      </c>
      <c r="D8" s="2">
        <v>0</v>
      </c>
      <c r="E8" s="2">
        <v>0</v>
      </c>
      <c r="F8" s="2">
        <v>1</v>
      </c>
      <c r="G8" s="2">
        <v>0.99</v>
      </c>
      <c r="H8" s="2">
        <v>0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</row>
    <row r="9" spans="1:17" x14ac:dyDescent="0.3">
      <c r="A9" t="s">
        <v>144</v>
      </c>
      <c r="B9" s="2">
        <v>0</v>
      </c>
      <c r="C9" s="2">
        <v>0</v>
      </c>
      <c r="D9" s="2">
        <v>0</v>
      </c>
      <c r="E9" s="2">
        <v>0</v>
      </c>
      <c r="F9" s="2">
        <v>2</v>
      </c>
      <c r="G9" s="2">
        <v>1</v>
      </c>
      <c r="H9" s="2">
        <v>0</v>
      </c>
      <c r="I9" s="2">
        <v>1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B83A-95ED-43FB-AC05-C8A15D3323E5}">
  <dimension ref="A1:C5"/>
  <sheetViews>
    <sheetView workbookViewId="0">
      <selection activeCell="A2" sqref="A2"/>
    </sheetView>
  </sheetViews>
  <sheetFormatPr defaultRowHeight="14.4" x14ac:dyDescent="0.3"/>
  <sheetData>
    <row r="1" spans="1:3" x14ac:dyDescent="0.3">
      <c r="A1" s="1" t="s">
        <v>179</v>
      </c>
      <c r="B1" s="1" t="s">
        <v>102</v>
      </c>
      <c r="C1" s="1" t="s">
        <v>103</v>
      </c>
    </row>
    <row r="2" spans="1:3" x14ac:dyDescent="0.3">
      <c r="A2" t="s">
        <v>13</v>
      </c>
      <c r="B2" t="s">
        <v>23</v>
      </c>
      <c r="C2" t="s">
        <v>111</v>
      </c>
    </row>
    <row r="3" spans="1:3" x14ac:dyDescent="0.3">
      <c r="A3" t="s">
        <v>13</v>
      </c>
      <c r="B3" t="s">
        <v>24</v>
      </c>
      <c r="C3" t="s">
        <v>111</v>
      </c>
    </row>
    <row r="4" spans="1:3" x14ac:dyDescent="0.3">
      <c r="A4" t="s">
        <v>13</v>
      </c>
      <c r="B4" t="s">
        <v>25</v>
      </c>
      <c r="C4" t="s">
        <v>111</v>
      </c>
    </row>
    <row r="5" spans="1:3" x14ac:dyDescent="0.3">
      <c r="A5" t="s">
        <v>0</v>
      </c>
      <c r="B5" t="s">
        <v>8</v>
      </c>
      <c r="C5" t="s">
        <v>112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1106B-D567-41FC-8E91-2B4CC5EC9B59}">
  <dimension ref="A1:K3"/>
  <sheetViews>
    <sheetView workbookViewId="0">
      <selection activeCell="F6" sqref="F6"/>
    </sheetView>
  </sheetViews>
  <sheetFormatPr defaultRowHeight="14.4" x14ac:dyDescent="0.3"/>
  <sheetData>
    <row r="1" spans="1:11" s="1" customFormat="1" x14ac:dyDescent="0.3">
      <c r="A1" s="1" t="s">
        <v>13</v>
      </c>
      <c r="B1" s="1">
        <v>1</v>
      </c>
      <c r="C1" s="1">
        <f>B1+1</f>
        <v>2</v>
      </c>
      <c r="D1" s="1">
        <f t="shared" ref="D1:K1" si="0">C1+1</f>
        <v>3</v>
      </c>
      <c r="E1" s="1">
        <f t="shared" si="0"/>
        <v>4</v>
      </c>
      <c r="F1" s="1">
        <f t="shared" si="0"/>
        <v>5</v>
      </c>
      <c r="G1" s="1">
        <f t="shared" si="0"/>
        <v>6</v>
      </c>
      <c r="H1" s="1">
        <f t="shared" si="0"/>
        <v>7</v>
      </c>
      <c r="I1" s="1">
        <f t="shared" si="0"/>
        <v>8</v>
      </c>
      <c r="J1" s="1">
        <f t="shared" si="0"/>
        <v>9</v>
      </c>
      <c r="K1" s="1">
        <f t="shared" si="0"/>
        <v>10</v>
      </c>
    </row>
    <row r="2" spans="1:11" x14ac:dyDescent="0.3">
      <c r="A2" t="s">
        <v>61</v>
      </c>
      <c r="B2">
        <v>0.4</v>
      </c>
      <c r="C2">
        <v>0.6</v>
      </c>
      <c r="D2">
        <v>0.8</v>
      </c>
      <c r="E2">
        <v>0.9</v>
      </c>
      <c r="F2">
        <v>1</v>
      </c>
    </row>
    <row r="3" spans="1:11" x14ac:dyDescent="0.3">
      <c r="A3" t="s">
        <v>62</v>
      </c>
      <c r="B3">
        <v>0.8</v>
      </c>
      <c r="C3">
        <v>0.78</v>
      </c>
      <c r="D3">
        <v>0.75</v>
      </c>
      <c r="E3">
        <v>0.7</v>
      </c>
      <c r="F3">
        <v>0.65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6A8A7-FD76-4891-A53C-CBB095359118}">
  <dimension ref="A1:J17"/>
  <sheetViews>
    <sheetView workbookViewId="0">
      <selection activeCell="F2" sqref="F2"/>
    </sheetView>
  </sheetViews>
  <sheetFormatPr defaultColWidth="9.109375" defaultRowHeight="14.4" x14ac:dyDescent="0.3"/>
  <cols>
    <col min="1" max="1" width="15.33203125" bestFit="1" customWidth="1"/>
    <col min="2" max="2" width="11.44140625" bestFit="1" customWidth="1"/>
    <col min="3" max="3" width="5.5546875" bestFit="1" customWidth="1"/>
    <col min="4" max="4" width="16.44140625" bestFit="1" customWidth="1"/>
    <col min="5" max="5" width="8.109375" bestFit="1" customWidth="1"/>
    <col min="6" max="6" width="10.109375" bestFit="1" customWidth="1"/>
    <col min="7" max="7" width="8.88671875" bestFit="1" customWidth="1"/>
    <col min="8" max="8" width="11.5546875" bestFit="1" customWidth="1"/>
  </cols>
  <sheetData>
    <row r="1" spans="1:10" s="1" customFormat="1" x14ac:dyDescent="0.3">
      <c r="A1" s="1" t="s">
        <v>13</v>
      </c>
      <c r="B1" s="1" t="s">
        <v>28</v>
      </c>
      <c r="C1" s="1" t="s">
        <v>0</v>
      </c>
      <c r="D1" s="1" t="s">
        <v>33</v>
      </c>
      <c r="E1" s="1" t="s">
        <v>16</v>
      </c>
      <c r="F1" s="1" t="s">
        <v>176</v>
      </c>
      <c r="G1" s="1" t="s">
        <v>22</v>
      </c>
      <c r="H1" s="1" t="s">
        <v>21</v>
      </c>
      <c r="I1" s="1" t="s">
        <v>120</v>
      </c>
      <c r="J1" s="1" t="s">
        <v>129</v>
      </c>
    </row>
    <row r="2" spans="1:10" x14ac:dyDescent="0.3">
      <c r="A2" t="s">
        <v>23</v>
      </c>
      <c r="B2" t="s">
        <v>27</v>
      </c>
      <c r="C2" t="s">
        <v>7</v>
      </c>
      <c r="D2">
        <v>1</v>
      </c>
      <c r="E2">
        <v>20</v>
      </c>
      <c r="F2">
        <v>3</v>
      </c>
      <c r="G2">
        <v>0.5</v>
      </c>
      <c r="H2">
        <v>0.5</v>
      </c>
      <c r="I2">
        <v>0.6</v>
      </c>
      <c r="J2">
        <v>0.6</v>
      </c>
    </row>
    <row r="3" spans="1:10" x14ac:dyDescent="0.3">
      <c r="A3" t="s">
        <v>23</v>
      </c>
      <c r="B3" t="s">
        <v>29</v>
      </c>
      <c r="C3" t="s">
        <v>9</v>
      </c>
      <c r="D3">
        <v>1</v>
      </c>
      <c r="E3">
        <v>10</v>
      </c>
      <c r="F3">
        <v>0</v>
      </c>
      <c r="G3">
        <v>0.5</v>
      </c>
      <c r="H3">
        <v>0.5</v>
      </c>
      <c r="I3">
        <v>0.6</v>
      </c>
      <c r="J3">
        <v>0.6</v>
      </c>
    </row>
    <row r="4" spans="1:10" x14ac:dyDescent="0.3">
      <c r="A4" t="s">
        <v>23</v>
      </c>
      <c r="B4" t="s">
        <v>29</v>
      </c>
      <c r="C4" t="s">
        <v>8</v>
      </c>
      <c r="D4">
        <v>1</v>
      </c>
      <c r="E4">
        <v>8</v>
      </c>
      <c r="F4">
        <v>0</v>
      </c>
      <c r="G4">
        <v>0.5</v>
      </c>
      <c r="H4">
        <v>0.5</v>
      </c>
      <c r="I4">
        <v>0.6</v>
      </c>
      <c r="J4">
        <v>0.6</v>
      </c>
    </row>
    <row r="5" spans="1:10" x14ac:dyDescent="0.3">
      <c r="A5" t="s">
        <v>24</v>
      </c>
      <c r="B5" t="s">
        <v>27</v>
      </c>
      <c r="C5" t="s">
        <v>8</v>
      </c>
      <c r="D5">
        <v>1</v>
      </c>
      <c r="E5">
        <v>5</v>
      </c>
      <c r="F5">
        <v>15</v>
      </c>
      <c r="G5">
        <v>0.5</v>
      </c>
      <c r="H5">
        <v>0.5</v>
      </c>
      <c r="I5">
        <v>0.6</v>
      </c>
      <c r="J5">
        <v>0.6</v>
      </c>
    </row>
    <row r="6" spans="1:10" x14ac:dyDescent="0.3">
      <c r="A6" t="s">
        <v>24</v>
      </c>
      <c r="B6" t="s">
        <v>29</v>
      </c>
      <c r="C6" t="s">
        <v>9</v>
      </c>
      <c r="D6">
        <v>1</v>
      </c>
      <c r="E6">
        <v>15</v>
      </c>
      <c r="F6">
        <v>0.5</v>
      </c>
      <c r="G6">
        <v>0.5</v>
      </c>
      <c r="H6">
        <v>0.5</v>
      </c>
      <c r="I6">
        <v>0.6</v>
      </c>
      <c r="J6">
        <v>0.6</v>
      </c>
    </row>
    <row r="7" spans="1:10" x14ac:dyDescent="0.3">
      <c r="A7" t="s">
        <v>25</v>
      </c>
      <c r="B7" t="s">
        <v>27</v>
      </c>
      <c r="C7" t="s">
        <v>8</v>
      </c>
      <c r="D7">
        <v>1</v>
      </c>
      <c r="E7">
        <v>10</v>
      </c>
      <c r="F7">
        <v>15</v>
      </c>
      <c r="G7">
        <v>1</v>
      </c>
      <c r="H7">
        <v>1</v>
      </c>
      <c r="I7">
        <v>0.6</v>
      </c>
      <c r="J7">
        <v>0.6</v>
      </c>
    </row>
    <row r="8" spans="1:10" x14ac:dyDescent="0.3">
      <c r="A8" t="s">
        <v>25</v>
      </c>
      <c r="B8" t="s">
        <v>29</v>
      </c>
      <c r="C8" t="s">
        <v>11</v>
      </c>
      <c r="D8">
        <v>1</v>
      </c>
      <c r="E8">
        <v>7</v>
      </c>
      <c r="F8">
        <v>1</v>
      </c>
      <c r="G8">
        <v>1</v>
      </c>
      <c r="H8">
        <v>1</v>
      </c>
      <c r="I8">
        <v>0.6</v>
      </c>
      <c r="J8">
        <v>0.6</v>
      </c>
    </row>
    <row r="9" spans="1:10" x14ac:dyDescent="0.3">
      <c r="A9" t="s">
        <v>26</v>
      </c>
      <c r="B9" t="s">
        <v>29</v>
      </c>
      <c r="C9" t="s">
        <v>8</v>
      </c>
      <c r="D9">
        <v>1</v>
      </c>
      <c r="E9">
        <v>5</v>
      </c>
      <c r="F9">
        <v>0.5</v>
      </c>
      <c r="G9">
        <v>1</v>
      </c>
      <c r="H9">
        <v>1</v>
      </c>
      <c r="I9">
        <v>0.6</v>
      </c>
      <c r="J9">
        <v>0.6</v>
      </c>
    </row>
    <row r="10" spans="1:10" x14ac:dyDescent="0.3">
      <c r="A10" t="s">
        <v>35</v>
      </c>
      <c r="B10" t="s">
        <v>27</v>
      </c>
      <c r="C10" t="s">
        <v>9</v>
      </c>
      <c r="D10">
        <v>1</v>
      </c>
      <c r="E10">
        <v>20</v>
      </c>
      <c r="F10">
        <v>0</v>
      </c>
      <c r="G10">
        <v>1</v>
      </c>
      <c r="H10">
        <v>1</v>
      </c>
      <c r="I10">
        <v>0.6</v>
      </c>
      <c r="J10">
        <v>0.6</v>
      </c>
    </row>
    <row r="11" spans="1:10" x14ac:dyDescent="0.3">
      <c r="A11" t="s">
        <v>35</v>
      </c>
      <c r="B11" t="s">
        <v>29</v>
      </c>
      <c r="C11" t="s">
        <v>34</v>
      </c>
      <c r="D11">
        <v>1</v>
      </c>
      <c r="E11">
        <v>20</v>
      </c>
      <c r="F11">
        <v>0</v>
      </c>
      <c r="G11">
        <v>1</v>
      </c>
      <c r="H11">
        <v>1</v>
      </c>
      <c r="I11">
        <v>0.6</v>
      </c>
      <c r="J11">
        <v>0.6</v>
      </c>
    </row>
    <row r="12" spans="1:10" x14ac:dyDescent="0.3">
      <c r="A12" t="s">
        <v>139</v>
      </c>
      <c r="B12" t="s">
        <v>27</v>
      </c>
      <c r="C12" t="s">
        <v>9</v>
      </c>
      <c r="D12">
        <v>1</v>
      </c>
      <c r="E12">
        <v>20</v>
      </c>
      <c r="F12">
        <v>0</v>
      </c>
      <c r="G12">
        <v>1</v>
      </c>
      <c r="H12">
        <v>1</v>
      </c>
      <c r="I12">
        <v>0.6</v>
      </c>
      <c r="J12">
        <v>0.6</v>
      </c>
    </row>
    <row r="13" spans="1:10" x14ac:dyDescent="0.3">
      <c r="A13" t="s">
        <v>139</v>
      </c>
      <c r="B13" t="s">
        <v>29</v>
      </c>
      <c r="C13" t="s">
        <v>135</v>
      </c>
      <c r="D13">
        <v>1</v>
      </c>
      <c r="E13">
        <v>20</v>
      </c>
      <c r="F13">
        <v>0</v>
      </c>
      <c r="G13">
        <v>1</v>
      </c>
      <c r="H13">
        <v>1</v>
      </c>
      <c r="I13">
        <v>0.6</v>
      </c>
      <c r="J13">
        <v>0.6</v>
      </c>
    </row>
    <row r="14" spans="1:10" x14ac:dyDescent="0.3">
      <c r="A14" t="s">
        <v>138</v>
      </c>
      <c r="B14" t="s">
        <v>27</v>
      </c>
      <c r="C14" t="s">
        <v>135</v>
      </c>
      <c r="D14">
        <v>1</v>
      </c>
      <c r="E14">
        <v>20</v>
      </c>
      <c r="F14">
        <v>0</v>
      </c>
      <c r="G14">
        <v>1</v>
      </c>
      <c r="H14">
        <v>1</v>
      </c>
      <c r="I14">
        <v>0.6</v>
      </c>
      <c r="J14">
        <v>0.6</v>
      </c>
    </row>
    <row r="15" spans="1:10" x14ac:dyDescent="0.3">
      <c r="A15" t="s">
        <v>138</v>
      </c>
      <c r="B15" t="s">
        <v>29</v>
      </c>
      <c r="C15" t="s">
        <v>9</v>
      </c>
      <c r="D15">
        <v>1</v>
      </c>
      <c r="E15">
        <v>20</v>
      </c>
      <c r="F15">
        <v>0</v>
      </c>
      <c r="G15">
        <v>1</v>
      </c>
      <c r="H15">
        <v>1</v>
      </c>
      <c r="I15">
        <v>0.6</v>
      </c>
      <c r="J15">
        <v>0.6</v>
      </c>
    </row>
    <row r="16" spans="1:10" x14ac:dyDescent="0.3">
      <c r="A16" t="s">
        <v>144</v>
      </c>
      <c r="B16" t="s">
        <v>27</v>
      </c>
      <c r="C16" t="s">
        <v>140</v>
      </c>
      <c r="D16">
        <v>1</v>
      </c>
      <c r="E16">
        <v>1000</v>
      </c>
      <c r="F16">
        <v>0</v>
      </c>
      <c r="G16">
        <v>1</v>
      </c>
      <c r="H16">
        <v>1</v>
      </c>
      <c r="I16">
        <v>0.6</v>
      </c>
      <c r="J16">
        <v>0.6</v>
      </c>
    </row>
    <row r="17" spans="1:10" x14ac:dyDescent="0.3">
      <c r="A17" t="s">
        <v>144</v>
      </c>
      <c r="B17" t="s">
        <v>29</v>
      </c>
      <c r="C17" t="s">
        <v>9</v>
      </c>
      <c r="D17">
        <v>1</v>
      </c>
      <c r="E17">
        <v>1000</v>
      </c>
      <c r="F17">
        <v>0</v>
      </c>
      <c r="G17">
        <v>1</v>
      </c>
      <c r="H17">
        <v>1</v>
      </c>
      <c r="I17">
        <v>0.6</v>
      </c>
      <c r="J17">
        <v>0.6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EF404-3743-47D7-AC45-7AE3A9FB796E}">
  <dimension ref="A1:G25"/>
  <sheetViews>
    <sheetView workbookViewId="0">
      <selection activeCell="H3" sqref="H3"/>
    </sheetView>
  </sheetViews>
  <sheetFormatPr defaultRowHeight="14.4" x14ac:dyDescent="0.3"/>
  <cols>
    <col min="1" max="1" width="8.44140625" style="3" customWidth="1"/>
    <col min="2" max="3" width="15.5546875" customWidth="1"/>
    <col min="4" max="4" width="13.5546875" bestFit="1" customWidth="1"/>
    <col min="6" max="6" width="13.5546875" bestFit="1" customWidth="1"/>
  </cols>
  <sheetData>
    <row r="1" spans="1:7" x14ac:dyDescent="0.3">
      <c r="A1" s="1" t="s">
        <v>30</v>
      </c>
      <c r="B1" t="s">
        <v>143</v>
      </c>
      <c r="C1" t="s">
        <v>141</v>
      </c>
      <c r="D1" t="s">
        <v>159</v>
      </c>
      <c r="E1" t="s">
        <v>142</v>
      </c>
      <c r="F1" t="s">
        <v>168</v>
      </c>
      <c r="G1" t="s">
        <v>169</v>
      </c>
    </row>
    <row r="2" spans="1:7" x14ac:dyDescent="0.3">
      <c r="A2">
        <v>1</v>
      </c>
      <c r="B2" s="3">
        <v>44671</v>
      </c>
      <c r="C2">
        <v>1</v>
      </c>
      <c r="D2" s="3">
        <v>44671</v>
      </c>
      <c r="E2">
        <v>1</v>
      </c>
      <c r="F2" s="3">
        <v>44671</v>
      </c>
      <c r="G2">
        <v>1</v>
      </c>
    </row>
    <row r="3" spans="1:7" x14ac:dyDescent="0.3">
      <c r="A3">
        <v>2</v>
      </c>
      <c r="B3" s="3">
        <v>44671.041666666664</v>
      </c>
      <c r="C3">
        <v>1</v>
      </c>
      <c r="D3" s="3">
        <v>44671.041666666664</v>
      </c>
      <c r="E3">
        <v>1</v>
      </c>
      <c r="F3" s="3">
        <v>44671.041666666664</v>
      </c>
      <c r="G3">
        <v>1</v>
      </c>
    </row>
    <row r="4" spans="1:7" x14ac:dyDescent="0.3">
      <c r="A4">
        <v>3</v>
      </c>
    </row>
    <row r="5" spans="1:7" x14ac:dyDescent="0.3">
      <c r="A5">
        <v>4</v>
      </c>
    </row>
    <row r="6" spans="1:7" x14ac:dyDescent="0.3">
      <c r="A6">
        <v>5</v>
      </c>
    </row>
    <row r="7" spans="1:7" x14ac:dyDescent="0.3">
      <c r="A7">
        <v>6</v>
      </c>
    </row>
    <row r="8" spans="1:7" x14ac:dyDescent="0.3">
      <c r="A8">
        <v>7</v>
      </c>
    </row>
    <row r="9" spans="1:7" x14ac:dyDescent="0.3">
      <c r="A9">
        <v>8</v>
      </c>
    </row>
    <row r="10" spans="1:7" x14ac:dyDescent="0.3">
      <c r="A10">
        <v>9</v>
      </c>
    </row>
    <row r="11" spans="1:7" x14ac:dyDescent="0.3">
      <c r="A11">
        <v>10</v>
      </c>
    </row>
    <row r="12" spans="1:7" x14ac:dyDescent="0.3">
      <c r="A12">
        <v>11</v>
      </c>
    </row>
    <row r="13" spans="1:7" x14ac:dyDescent="0.3">
      <c r="A13">
        <v>12</v>
      </c>
    </row>
    <row r="14" spans="1:7" x14ac:dyDescent="0.3">
      <c r="A14">
        <v>13</v>
      </c>
    </row>
    <row r="15" spans="1:7" x14ac:dyDescent="0.3">
      <c r="A15">
        <v>14</v>
      </c>
    </row>
    <row r="16" spans="1:7" x14ac:dyDescent="0.3">
      <c r="A16">
        <v>15</v>
      </c>
    </row>
    <row r="17" spans="1:1" x14ac:dyDescent="0.3">
      <c r="A17">
        <v>16</v>
      </c>
    </row>
    <row r="18" spans="1:1" x14ac:dyDescent="0.3">
      <c r="A18">
        <v>17</v>
      </c>
    </row>
    <row r="19" spans="1:1" x14ac:dyDescent="0.3">
      <c r="A19">
        <v>18</v>
      </c>
    </row>
    <row r="20" spans="1:1" x14ac:dyDescent="0.3">
      <c r="A20">
        <v>19</v>
      </c>
    </row>
    <row r="21" spans="1:1" x14ac:dyDescent="0.3">
      <c r="A21">
        <v>20</v>
      </c>
    </row>
    <row r="22" spans="1:1" x14ac:dyDescent="0.3">
      <c r="A22">
        <v>21</v>
      </c>
    </row>
    <row r="23" spans="1:1" x14ac:dyDescent="0.3">
      <c r="A23">
        <v>22</v>
      </c>
    </row>
    <row r="24" spans="1:1" x14ac:dyDescent="0.3">
      <c r="A24">
        <v>23</v>
      </c>
    </row>
    <row r="25" spans="1:1" x14ac:dyDescent="0.3">
      <c r="A25">
        <v>24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97A19-79B8-46BB-9B8D-DDA080BD4E36}">
  <dimension ref="A1:E2"/>
  <sheetViews>
    <sheetView workbookViewId="0">
      <selection activeCell="F7" sqref="F7"/>
    </sheetView>
  </sheetViews>
  <sheetFormatPr defaultRowHeight="14.4" x14ac:dyDescent="0.3"/>
  <cols>
    <col min="1" max="2" width="6.33203125" bestFit="1" customWidth="1"/>
    <col min="3" max="3" width="7.33203125" bestFit="1" customWidth="1"/>
    <col min="5" max="5" width="9.33203125" bestFit="1" customWidth="1"/>
  </cols>
  <sheetData>
    <row r="1" spans="1:5" s="1" customFormat="1" x14ac:dyDescent="0.3">
      <c r="A1" s="1" t="s">
        <v>113</v>
      </c>
      <c r="B1" s="1" t="s">
        <v>114</v>
      </c>
      <c r="C1" s="1" t="s">
        <v>117</v>
      </c>
      <c r="D1" s="1" t="s">
        <v>118</v>
      </c>
      <c r="E1" s="1" t="s">
        <v>119</v>
      </c>
    </row>
    <row r="2" spans="1:5" x14ac:dyDescent="0.3">
      <c r="A2" t="s">
        <v>137</v>
      </c>
      <c r="B2" t="s">
        <v>140</v>
      </c>
      <c r="C2">
        <v>2</v>
      </c>
      <c r="D2">
        <v>0</v>
      </c>
      <c r="E2">
        <v>1000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55BEF-1F4B-494A-B089-4FCDFFFA57F7}">
  <dimension ref="A1:D25"/>
  <sheetViews>
    <sheetView workbookViewId="0">
      <selection activeCell="B4" sqref="B4:D6"/>
    </sheetView>
  </sheetViews>
  <sheetFormatPr defaultRowHeight="14.4" x14ac:dyDescent="0.3"/>
  <cols>
    <col min="1" max="1" width="19.33203125" style="3" customWidth="1"/>
  </cols>
  <sheetData>
    <row r="1" spans="1:4" x14ac:dyDescent="0.3">
      <c r="A1" s="1" t="s">
        <v>30</v>
      </c>
      <c r="B1" s="1" t="s">
        <v>149</v>
      </c>
      <c r="C1" s="1" t="s">
        <v>150</v>
      </c>
      <c r="D1" s="1" t="s">
        <v>167</v>
      </c>
    </row>
    <row r="2" spans="1:4" x14ac:dyDescent="0.3">
      <c r="A2" s="3">
        <f>IF(timeseries!A2&lt;&gt;"",timeseries!A2,"")</f>
        <v>44671</v>
      </c>
      <c r="B2">
        <v>0.02</v>
      </c>
      <c r="C2">
        <v>0.02</v>
      </c>
      <c r="D2">
        <v>0.02</v>
      </c>
    </row>
    <row r="3" spans="1:4" x14ac:dyDescent="0.3">
      <c r="A3" s="3">
        <f>IF(timeseries!A3&lt;&gt;"",timeseries!A3,"")</f>
        <v>44671.041666666664</v>
      </c>
      <c r="B3">
        <v>0.02</v>
      </c>
      <c r="C3">
        <v>0.02</v>
      </c>
      <c r="D3">
        <v>0.02</v>
      </c>
    </row>
    <row r="4" spans="1:4" x14ac:dyDescent="0.3">
      <c r="A4" s="3">
        <f>IF(timeseries!A4&lt;&gt;"",timeseries!A4,"")</f>
        <v>44671.08333321759</v>
      </c>
      <c r="B4">
        <v>0.02</v>
      </c>
      <c r="C4">
        <v>0.02</v>
      </c>
      <c r="D4">
        <v>0.02</v>
      </c>
    </row>
    <row r="5" spans="1:4" x14ac:dyDescent="0.3">
      <c r="A5" s="3">
        <f>IF(timeseries!A5&lt;&gt;"",timeseries!A5,"")</f>
        <v>44671.125</v>
      </c>
      <c r="B5">
        <v>0.02</v>
      </c>
      <c r="C5">
        <v>0.02</v>
      </c>
      <c r="D5">
        <v>0.02</v>
      </c>
    </row>
    <row r="6" spans="1:4" x14ac:dyDescent="0.3">
      <c r="A6" s="3">
        <f>IF(timeseries!A6&lt;&gt;"",timeseries!A6,"")</f>
        <v>44671.166666666664</v>
      </c>
      <c r="B6">
        <v>0.02</v>
      </c>
      <c r="C6">
        <v>0.02</v>
      </c>
      <c r="D6">
        <v>0.02</v>
      </c>
    </row>
    <row r="7" spans="1:4" x14ac:dyDescent="0.3">
      <c r="A7" s="3" t="str">
        <f>IF(timeseries!A7&lt;&gt;"",timeseries!A7,"")</f>
        <v/>
      </c>
    </row>
    <row r="8" spans="1:4" x14ac:dyDescent="0.3">
      <c r="A8" s="3" t="str">
        <f>IF(timeseries!A8&lt;&gt;"",timeseries!A8,"")</f>
        <v/>
      </c>
    </row>
    <row r="9" spans="1:4" x14ac:dyDescent="0.3">
      <c r="A9" s="3" t="str">
        <f>IF(timeseries!A9&lt;&gt;"",timeseries!A9,"")</f>
        <v/>
      </c>
    </row>
    <row r="10" spans="1:4" x14ac:dyDescent="0.3">
      <c r="A10" s="3" t="str">
        <f>IF(timeseries!A10&lt;&gt;"",timeseries!A10,"")</f>
        <v/>
      </c>
    </row>
    <row r="11" spans="1:4" x14ac:dyDescent="0.3">
      <c r="A11" s="3" t="str">
        <f>IF(timeseries!A11&lt;&gt;"",timeseries!A11,"")</f>
        <v/>
      </c>
    </row>
    <row r="12" spans="1:4" x14ac:dyDescent="0.3">
      <c r="A12" s="3" t="str">
        <f>IF(timeseries!A12&lt;&gt;"",timeseries!A12,"")</f>
        <v/>
      </c>
    </row>
    <row r="13" spans="1:4" x14ac:dyDescent="0.3">
      <c r="A13" s="3" t="str">
        <f>IF(timeseries!A13&lt;&gt;"",timeseries!A13,"")</f>
        <v/>
      </c>
    </row>
    <row r="14" spans="1:4" x14ac:dyDescent="0.3">
      <c r="A14" s="3" t="str">
        <f>IF(timeseries!A14&lt;&gt;"",timeseries!A14,"")</f>
        <v/>
      </c>
    </row>
    <row r="15" spans="1:4" x14ac:dyDescent="0.3">
      <c r="A15" s="3" t="str">
        <f>IF(timeseries!A15&lt;&gt;"",timeseries!A15,"")</f>
        <v/>
      </c>
    </row>
    <row r="16" spans="1:4" x14ac:dyDescent="0.3">
      <c r="A16" s="3" t="str">
        <f>IF(timeseries!A16&lt;&gt;"",timeseries!A16,"")</f>
        <v/>
      </c>
    </row>
    <row r="17" spans="1:1" x14ac:dyDescent="0.3">
      <c r="A17" s="3" t="str">
        <f>IF(timeseries!A17&lt;&gt;"",timeseries!A17,"")</f>
        <v/>
      </c>
    </row>
    <row r="18" spans="1:1" x14ac:dyDescent="0.3">
      <c r="A18" s="3" t="str">
        <f>IF(timeseries!A18&lt;&gt;"",timeseries!A18,"")</f>
        <v/>
      </c>
    </row>
    <row r="19" spans="1:1" x14ac:dyDescent="0.3">
      <c r="A19" s="3" t="str">
        <f>IF(timeseries!A19&lt;&gt;"",timeseries!A19,"")</f>
        <v/>
      </c>
    </row>
    <row r="20" spans="1:1" x14ac:dyDescent="0.3">
      <c r="A20" s="3" t="str">
        <f>IF(timeseries!A20&lt;&gt;"",timeseries!A20,"")</f>
        <v/>
      </c>
    </row>
    <row r="21" spans="1:1" x14ac:dyDescent="0.3">
      <c r="A21" s="3" t="str">
        <f>IF(timeseries!A21&lt;&gt;"",timeseries!A21,"")</f>
        <v/>
      </c>
    </row>
    <row r="22" spans="1:1" x14ac:dyDescent="0.3">
      <c r="A22" s="3" t="str">
        <f>IF(timeseries!A22&lt;&gt;"",timeseries!A22,"")</f>
        <v/>
      </c>
    </row>
    <row r="23" spans="1:1" x14ac:dyDescent="0.3">
      <c r="A23" s="3" t="str">
        <f>IF(timeseries!A23&lt;&gt;"",timeseries!A23,"")</f>
        <v/>
      </c>
    </row>
    <row r="24" spans="1:1" x14ac:dyDescent="0.3">
      <c r="A24" s="3" t="str">
        <f>IF(timeseries!A24&lt;&gt;"",timeseries!A24,"")</f>
        <v/>
      </c>
    </row>
    <row r="25" spans="1:1" x14ac:dyDescent="0.3">
      <c r="A25" s="3" t="str">
        <f>IF(timeseries!A25&lt;&gt;"",timeseries!A25,"")</f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32F8A-0FB4-47AD-98A1-4065D3376432}">
  <dimension ref="A1:B2"/>
  <sheetViews>
    <sheetView workbookViewId="0">
      <selection activeCell="A2" sqref="A2"/>
    </sheetView>
  </sheetViews>
  <sheetFormatPr defaultRowHeight="14.4" x14ac:dyDescent="0.3"/>
  <sheetData>
    <row r="1" spans="1:2" s="1" customFormat="1" x14ac:dyDescent="0.3">
      <c r="A1" s="1" t="s">
        <v>65</v>
      </c>
      <c r="B1" s="1" t="s">
        <v>63</v>
      </c>
    </row>
    <row r="2" spans="1:2" x14ac:dyDescent="0.3">
      <c r="A2" t="s">
        <v>64</v>
      </c>
      <c r="B2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4637A-7829-48D6-AE54-2E654AB1A427}">
  <dimension ref="A1:I25"/>
  <sheetViews>
    <sheetView workbookViewId="0">
      <selection activeCell="B7" sqref="B7"/>
    </sheetView>
  </sheetViews>
  <sheetFormatPr defaultRowHeight="14.4" x14ac:dyDescent="0.3"/>
  <cols>
    <col min="1" max="1" width="19.33203125" style="3" customWidth="1"/>
    <col min="3" max="3" width="23.109375" customWidth="1"/>
    <col min="9" max="9" width="12.109375" bestFit="1" customWidth="1"/>
  </cols>
  <sheetData>
    <row r="1" spans="1:9" s="1" customFormat="1" x14ac:dyDescent="0.3">
      <c r="A1" s="1" t="s">
        <v>30</v>
      </c>
      <c r="B1" s="1" t="s">
        <v>92</v>
      </c>
      <c r="C1"/>
    </row>
    <row r="2" spans="1:9" x14ac:dyDescent="0.3">
      <c r="A2" s="3">
        <f>IF(timeseries!A2&lt;&gt;"",timeseries!A2,"")</f>
        <v>44671</v>
      </c>
      <c r="B2">
        <v>0</v>
      </c>
      <c r="C2" s="3"/>
      <c r="I2" s="3"/>
    </row>
    <row r="3" spans="1:9" x14ac:dyDescent="0.3">
      <c r="A3" s="3">
        <f>IF(timeseries!A3&lt;&gt;"",timeseries!A3,"")</f>
        <v>44671.041666666664</v>
      </c>
      <c r="B3">
        <v>0.4</v>
      </c>
    </row>
    <row r="4" spans="1:9" x14ac:dyDescent="0.3">
      <c r="A4" s="3">
        <f>IF(timeseries!A4&lt;&gt;"",timeseries!A4,"")</f>
        <v>44671.08333321759</v>
      </c>
      <c r="B4">
        <v>0.5</v>
      </c>
    </row>
    <row r="5" spans="1:9" x14ac:dyDescent="0.3">
      <c r="A5" s="3">
        <f>IF(timeseries!A5&lt;&gt;"",timeseries!A5,"")</f>
        <v>44671.125</v>
      </c>
      <c r="B5">
        <v>0.3</v>
      </c>
    </row>
    <row r="6" spans="1:9" x14ac:dyDescent="0.3">
      <c r="A6" s="3">
        <f>IF(timeseries!A6&lt;&gt;"",timeseries!A6,"")</f>
        <v>44671.166666666664</v>
      </c>
      <c r="B6">
        <v>0.4</v>
      </c>
    </row>
    <row r="7" spans="1:9" x14ac:dyDescent="0.3">
      <c r="A7" s="3" t="str">
        <f>IF(timeseries!A7&lt;&gt;"",timeseries!A7,"")</f>
        <v/>
      </c>
    </row>
    <row r="8" spans="1:9" x14ac:dyDescent="0.3">
      <c r="A8" s="3" t="str">
        <f>IF(timeseries!A8&lt;&gt;"",timeseries!A8,"")</f>
        <v/>
      </c>
    </row>
    <row r="9" spans="1:9" x14ac:dyDescent="0.3">
      <c r="A9" s="3" t="str">
        <f>IF(timeseries!A9&lt;&gt;"",timeseries!A9,"")</f>
        <v/>
      </c>
    </row>
    <row r="10" spans="1:9" x14ac:dyDescent="0.3">
      <c r="A10" s="3" t="str">
        <f>IF(timeseries!A10&lt;&gt;"",timeseries!A10,"")</f>
        <v/>
      </c>
    </row>
    <row r="11" spans="1:9" x14ac:dyDescent="0.3">
      <c r="A11" s="3" t="str">
        <f>IF(timeseries!A11&lt;&gt;"",timeseries!A11,"")</f>
        <v/>
      </c>
    </row>
    <row r="12" spans="1:9" x14ac:dyDescent="0.3">
      <c r="A12" s="3" t="str">
        <f>IF(timeseries!A12&lt;&gt;"",timeseries!A12,"")</f>
        <v/>
      </c>
    </row>
    <row r="13" spans="1:9" x14ac:dyDescent="0.3">
      <c r="A13" s="3" t="str">
        <f>IF(timeseries!A13&lt;&gt;"",timeseries!A13,"")</f>
        <v/>
      </c>
    </row>
    <row r="14" spans="1:9" x14ac:dyDescent="0.3">
      <c r="A14" s="3" t="str">
        <f>IF(timeseries!A14&lt;&gt;"",timeseries!A14,"")</f>
        <v/>
      </c>
    </row>
    <row r="15" spans="1:9" x14ac:dyDescent="0.3">
      <c r="A15" s="3" t="str">
        <f>IF(timeseries!A15&lt;&gt;"",timeseries!A15,"")</f>
        <v/>
      </c>
    </row>
    <row r="16" spans="1:9" x14ac:dyDescent="0.3">
      <c r="A16" s="3" t="str">
        <f>IF(timeseries!A16&lt;&gt;"",timeseries!A16,"")</f>
        <v/>
      </c>
    </row>
    <row r="17" spans="1:1" x14ac:dyDescent="0.3">
      <c r="A17" s="3" t="str">
        <f>IF(timeseries!A17&lt;&gt;"",timeseries!A17,"")</f>
        <v/>
      </c>
    </row>
    <row r="18" spans="1:1" x14ac:dyDescent="0.3">
      <c r="A18" s="3" t="str">
        <f>IF(timeseries!A18&lt;&gt;"",timeseries!A18,"")</f>
        <v/>
      </c>
    </row>
    <row r="19" spans="1:1" x14ac:dyDescent="0.3">
      <c r="A19" s="3" t="str">
        <f>IF(timeseries!A19&lt;&gt;"",timeseries!A19,"")</f>
        <v/>
      </c>
    </row>
    <row r="20" spans="1:1" x14ac:dyDescent="0.3">
      <c r="A20" s="3" t="str">
        <f>IF(timeseries!A20&lt;&gt;"",timeseries!A20,"")</f>
        <v/>
      </c>
    </row>
    <row r="21" spans="1:1" x14ac:dyDescent="0.3">
      <c r="A21" s="3" t="str">
        <f>IF(timeseries!A21&lt;&gt;"",timeseries!A21,"")</f>
        <v/>
      </c>
    </row>
    <row r="22" spans="1:1" x14ac:dyDescent="0.3">
      <c r="A22" s="3" t="str">
        <f>IF(timeseries!A22&lt;&gt;"",timeseries!A22,"")</f>
        <v/>
      </c>
    </row>
    <row r="23" spans="1:1" x14ac:dyDescent="0.3">
      <c r="A23" s="3" t="str">
        <f>IF(timeseries!A23&lt;&gt;"",timeseries!A23,"")</f>
        <v/>
      </c>
    </row>
    <row r="24" spans="1:1" x14ac:dyDescent="0.3">
      <c r="A24" s="3" t="str">
        <f>IF(timeseries!A24&lt;&gt;"",timeseries!A24,"")</f>
        <v/>
      </c>
    </row>
    <row r="25" spans="1:1" x14ac:dyDescent="0.3">
      <c r="A25" s="3" t="str">
        <f>IF(timeseries!A25&lt;&gt;"",timeseries!A25,"")</f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7DD44-A1AD-4241-AED7-C48CC9DEE2E2}">
  <dimension ref="A1:M25"/>
  <sheetViews>
    <sheetView workbookViewId="0">
      <selection activeCell="K4" sqref="K4"/>
    </sheetView>
  </sheetViews>
  <sheetFormatPr defaultRowHeight="14.4" x14ac:dyDescent="0.3"/>
  <cols>
    <col min="1" max="1" width="19.33203125" style="3" customWidth="1"/>
    <col min="4" max="7" width="10.44140625" customWidth="1"/>
  </cols>
  <sheetData>
    <row r="1" spans="1:13" s="1" customFormat="1" x14ac:dyDescent="0.3">
      <c r="A1" s="1" t="s">
        <v>30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147</v>
      </c>
      <c r="I1" s="1" t="s">
        <v>148</v>
      </c>
      <c r="J1" s="1" t="s">
        <v>170</v>
      </c>
      <c r="K1" s="1" t="s">
        <v>145</v>
      </c>
      <c r="L1" s="1" t="s">
        <v>146</v>
      </c>
      <c r="M1" s="1" t="s">
        <v>171</v>
      </c>
    </row>
    <row r="2" spans="1:13" x14ac:dyDescent="0.3">
      <c r="A2" s="3">
        <f>IF(timeseries!A2&lt;&gt;"",timeseries!A2,"")</f>
        <v>44671</v>
      </c>
      <c r="B2">
        <v>-5</v>
      </c>
      <c r="C2">
        <v>-5</v>
      </c>
      <c r="D2">
        <v>-5</v>
      </c>
      <c r="E2">
        <f>1*C2</f>
        <v>-5</v>
      </c>
      <c r="F2">
        <v>-5</v>
      </c>
      <c r="G2">
        <v>-5</v>
      </c>
      <c r="H2">
        <v>-1</v>
      </c>
      <c r="I2">
        <v>-1</v>
      </c>
      <c r="J2">
        <v>-1</v>
      </c>
      <c r="K2">
        <v>1</v>
      </c>
      <c r="L2">
        <v>1</v>
      </c>
      <c r="M2">
        <v>1</v>
      </c>
    </row>
    <row r="3" spans="1:13" x14ac:dyDescent="0.3">
      <c r="A3" s="3">
        <f>IF(timeseries!A3&lt;&gt;"",timeseries!A3,"")</f>
        <v>44671.041666666664</v>
      </c>
      <c r="B3">
        <v>-5</v>
      </c>
      <c r="C3">
        <v>-5</v>
      </c>
      <c r="D3">
        <f t="shared" ref="D3:D4" si="0">1*B3</f>
        <v>-5</v>
      </c>
      <c r="E3">
        <f t="shared" ref="E3:E4" si="1">1*C3</f>
        <v>-5</v>
      </c>
      <c r="F3">
        <v>-5</v>
      </c>
      <c r="G3">
        <v>-5</v>
      </c>
      <c r="H3">
        <v>0</v>
      </c>
      <c r="I3">
        <v>0</v>
      </c>
      <c r="J3">
        <v>0</v>
      </c>
      <c r="K3">
        <v>1</v>
      </c>
      <c r="L3">
        <v>1</v>
      </c>
      <c r="M3">
        <v>1</v>
      </c>
    </row>
    <row r="4" spans="1:13" x14ac:dyDescent="0.3">
      <c r="A4" s="3">
        <f>IF(timeseries!A4&lt;&gt;"",timeseries!A4,"")</f>
        <v>44671.08333321759</v>
      </c>
      <c r="B4">
        <v>-4</v>
      </c>
      <c r="C4">
        <v>-6</v>
      </c>
      <c r="D4">
        <f t="shared" si="0"/>
        <v>-4</v>
      </c>
      <c r="E4">
        <f t="shared" si="1"/>
        <v>-6</v>
      </c>
      <c r="F4">
        <v>-4</v>
      </c>
      <c r="G4">
        <v>-6</v>
      </c>
      <c r="H4">
        <v>-2</v>
      </c>
      <c r="I4">
        <v>-2</v>
      </c>
      <c r="J4">
        <v>-2</v>
      </c>
      <c r="K4">
        <v>2</v>
      </c>
      <c r="L4">
        <v>2</v>
      </c>
      <c r="M4">
        <v>2</v>
      </c>
    </row>
    <row r="5" spans="1:13" x14ac:dyDescent="0.3">
      <c r="A5" s="3">
        <f>IF(timeseries!A5&lt;&gt;"",timeseries!A5,"")</f>
        <v>44671.125</v>
      </c>
      <c r="B5">
        <v>-3</v>
      </c>
      <c r="C5">
        <v>-8</v>
      </c>
      <c r="D5">
        <f>B5</f>
        <v>-3</v>
      </c>
      <c r="E5">
        <f t="shared" ref="E5:G6" si="2">C5</f>
        <v>-8</v>
      </c>
      <c r="F5">
        <f t="shared" si="2"/>
        <v>-3</v>
      </c>
      <c r="G5">
        <f>E5</f>
        <v>-8</v>
      </c>
      <c r="H5">
        <v>-1</v>
      </c>
      <c r="I5">
        <f>H5</f>
        <v>-1</v>
      </c>
      <c r="J5">
        <f>I5</f>
        <v>-1</v>
      </c>
      <c r="K5">
        <v>1</v>
      </c>
      <c r="L5">
        <f>K5</f>
        <v>1</v>
      </c>
      <c r="M5">
        <f>L5</f>
        <v>1</v>
      </c>
    </row>
    <row r="6" spans="1:13" x14ac:dyDescent="0.3">
      <c r="A6" s="3">
        <f>IF(timeseries!A6&lt;&gt;"",timeseries!A6,"")</f>
        <v>44671.166666666664</v>
      </c>
      <c r="B6">
        <v>-3</v>
      </c>
      <c r="C6">
        <v>-6</v>
      </c>
      <c r="D6">
        <f>B6</f>
        <v>-3</v>
      </c>
      <c r="E6">
        <f t="shared" si="2"/>
        <v>-6</v>
      </c>
      <c r="F6">
        <f t="shared" si="2"/>
        <v>-3</v>
      </c>
      <c r="G6">
        <f t="shared" si="2"/>
        <v>-6</v>
      </c>
      <c r="H6">
        <v>0</v>
      </c>
      <c r="I6">
        <f>H6</f>
        <v>0</v>
      </c>
      <c r="J6">
        <f>I6</f>
        <v>0</v>
      </c>
      <c r="K6">
        <v>2</v>
      </c>
      <c r="L6">
        <f>K6</f>
        <v>2</v>
      </c>
      <c r="M6">
        <f>L6</f>
        <v>2</v>
      </c>
    </row>
    <row r="7" spans="1:13" x14ac:dyDescent="0.3">
      <c r="A7" s="3" t="str">
        <f>IF(timeseries!A7&lt;&gt;"",timeseries!A7,"")</f>
        <v/>
      </c>
    </row>
    <row r="8" spans="1:13" x14ac:dyDescent="0.3">
      <c r="A8" s="3" t="str">
        <f>IF(timeseries!A8&lt;&gt;"",timeseries!A8,"")</f>
        <v/>
      </c>
    </row>
    <row r="9" spans="1:13" x14ac:dyDescent="0.3">
      <c r="A9" s="3" t="str">
        <f>IF(timeseries!A9&lt;&gt;"",timeseries!A9,"")</f>
        <v/>
      </c>
    </row>
    <row r="10" spans="1:13" x14ac:dyDescent="0.3">
      <c r="A10" s="3" t="str">
        <f>IF(timeseries!A10&lt;&gt;"",timeseries!A10,"")</f>
        <v/>
      </c>
    </row>
    <row r="11" spans="1:13" x14ac:dyDescent="0.3">
      <c r="A11" s="3" t="str">
        <f>IF(timeseries!A11&lt;&gt;"",timeseries!A11,"")</f>
        <v/>
      </c>
    </row>
    <row r="12" spans="1:13" x14ac:dyDescent="0.3">
      <c r="A12" s="3" t="str">
        <f>IF(timeseries!A12&lt;&gt;"",timeseries!A12,"")</f>
        <v/>
      </c>
    </row>
    <row r="13" spans="1:13" x14ac:dyDescent="0.3">
      <c r="A13" s="3" t="str">
        <f>IF(timeseries!A13&lt;&gt;"",timeseries!A13,"")</f>
        <v/>
      </c>
    </row>
    <row r="14" spans="1:13" x14ac:dyDescent="0.3">
      <c r="A14" s="3" t="str">
        <f>IF(timeseries!A14&lt;&gt;"",timeseries!A14,"")</f>
        <v/>
      </c>
    </row>
    <row r="15" spans="1:13" x14ac:dyDescent="0.3">
      <c r="A15" s="3" t="str">
        <f>IF(timeseries!A15&lt;&gt;"",timeseries!A15,"")</f>
        <v/>
      </c>
    </row>
    <row r="16" spans="1:13" x14ac:dyDescent="0.3">
      <c r="A16" s="3" t="str">
        <f>IF(timeseries!A16&lt;&gt;"",timeseries!A16,"")</f>
        <v/>
      </c>
    </row>
    <row r="17" spans="1:1" x14ac:dyDescent="0.3">
      <c r="A17" s="3" t="str">
        <f>IF(timeseries!A17&lt;&gt;"",timeseries!A17,"")</f>
        <v/>
      </c>
    </row>
    <row r="18" spans="1:1" x14ac:dyDescent="0.3">
      <c r="A18" s="3" t="str">
        <f>IF(timeseries!A18&lt;&gt;"",timeseries!A18,"")</f>
        <v/>
      </c>
    </row>
    <row r="19" spans="1:1" x14ac:dyDescent="0.3">
      <c r="A19" s="3" t="str">
        <f>IF(timeseries!A19&lt;&gt;"",timeseries!A19,"")</f>
        <v/>
      </c>
    </row>
    <row r="20" spans="1:1" x14ac:dyDescent="0.3">
      <c r="A20" s="3" t="str">
        <f>IF(timeseries!A20&lt;&gt;"",timeseries!A20,"")</f>
        <v/>
      </c>
    </row>
    <row r="21" spans="1:1" x14ac:dyDescent="0.3">
      <c r="A21" s="3" t="str">
        <f>IF(timeseries!A21&lt;&gt;"",timeseries!A21,"")</f>
        <v/>
      </c>
    </row>
    <row r="22" spans="1:1" x14ac:dyDescent="0.3">
      <c r="A22" s="3" t="str">
        <f>IF(timeseries!A22&lt;&gt;"",timeseries!A22,"")</f>
        <v/>
      </c>
    </row>
    <row r="23" spans="1:1" x14ac:dyDescent="0.3">
      <c r="A23" s="3" t="str">
        <f>IF(timeseries!A23&lt;&gt;"",timeseries!A23,"")</f>
        <v/>
      </c>
    </row>
    <row r="24" spans="1:1" x14ac:dyDescent="0.3">
      <c r="A24" s="3" t="str">
        <f>IF(timeseries!A24&lt;&gt;"",timeseries!A24,"")</f>
        <v/>
      </c>
    </row>
    <row r="25" spans="1:1" x14ac:dyDescent="0.3">
      <c r="A25" s="3" t="str">
        <f>IF(timeseries!A25&lt;&gt;"",timeseries!A25,"")</f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BD40C-3F1E-4DCA-B153-EDE213641CC0}">
  <dimension ref="A1:F17"/>
  <sheetViews>
    <sheetView workbookViewId="0">
      <selection activeCell="E7" sqref="E7"/>
    </sheetView>
  </sheetViews>
  <sheetFormatPr defaultRowHeight="14.4" x14ac:dyDescent="0.3"/>
  <cols>
    <col min="2" max="6" width="13.33203125" bestFit="1" customWidth="1"/>
    <col min="7" max="7" width="13.6640625" customWidth="1"/>
  </cols>
  <sheetData>
    <row r="1" spans="1:6" x14ac:dyDescent="0.3">
      <c r="A1" t="s">
        <v>30</v>
      </c>
      <c r="B1" t="s">
        <v>161</v>
      </c>
      <c r="C1" t="s">
        <v>162</v>
      </c>
      <c r="D1" t="s">
        <v>163</v>
      </c>
      <c r="E1" t="s">
        <v>166</v>
      </c>
    </row>
    <row r="2" spans="1:6" x14ac:dyDescent="0.3">
      <c r="A2">
        <v>1</v>
      </c>
      <c r="B2" s="3">
        <v>44671</v>
      </c>
      <c r="C2">
        <v>-2</v>
      </c>
      <c r="D2">
        <v>-3</v>
      </c>
      <c r="E2">
        <v>-4</v>
      </c>
    </row>
    <row r="3" spans="1:6" x14ac:dyDescent="0.3">
      <c r="A3">
        <v>2</v>
      </c>
      <c r="B3" s="3">
        <v>44671.041666666664</v>
      </c>
      <c r="C3">
        <v>1</v>
      </c>
      <c r="D3">
        <v>2</v>
      </c>
      <c r="E3">
        <v>3</v>
      </c>
    </row>
    <row r="4" spans="1:6" x14ac:dyDescent="0.3">
      <c r="A4">
        <v>3</v>
      </c>
      <c r="B4" s="3">
        <v>44671.08333321759</v>
      </c>
      <c r="C4">
        <v>2</v>
      </c>
      <c r="D4">
        <v>2</v>
      </c>
      <c r="E4">
        <v>2</v>
      </c>
    </row>
    <row r="5" spans="1:6" x14ac:dyDescent="0.3">
      <c r="A5">
        <v>4</v>
      </c>
      <c r="C5" s="3"/>
      <c r="E5" s="3"/>
    </row>
    <row r="6" spans="1:6" x14ac:dyDescent="0.3">
      <c r="A6">
        <v>5</v>
      </c>
    </row>
    <row r="7" spans="1:6" x14ac:dyDescent="0.3">
      <c r="A7">
        <v>6</v>
      </c>
    </row>
    <row r="8" spans="1:6" x14ac:dyDescent="0.3">
      <c r="A8">
        <v>7</v>
      </c>
    </row>
    <row r="9" spans="1:6" x14ac:dyDescent="0.3">
      <c r="A9">
        <v>8</v>
      </c>
    </row>
    <row r="10" spans="1:6" x14ac:dyDescent="0.3">
      <c r="A10">
        <v>9</v>
      </c>
    </row>
    <row r="11" spans="1:6" x14ac:dyDescent="0.3">
      <c r="A11">
        <v>10</v>
      </c>
    </row>
    <row r="15" spans="1:6" x14ac:dyDescent="0.3">
      <c r="C15" s="3"/>
      <c r="D15" s="3"/>
      <c r="E15" s="3"/>
      <c r="F15" s="3"/>
    </row>
    <row r="17" spans="3:6" x14ac:dyDescent="0.3">
      <c r="C17" s="3"/>
      <c r="D17" s="3"/>
      <c r="E17" s="3"/>
      <c r="F17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200F8-1080-4CAC-B6CC-9D499CBB7C6A}">
  <dimension ref="A1:F1"/>
  <sheetViews>
    <sheetView tabSelected="1" workbookViewId="0">
      <selection activeCell="N8" sqref="N8"/>
    </sheetView>
  </sheetViews>
  <sheetFormatPr defaultRowHeight="14.4" x14ac:dyDescent="0.3"/>
  <cols>
    <col min="1" max="1" width="12.44140625" bestFit="1" customWidth="1"/>
  </cols>
  <sheetData>
    <row r="1" spans="1:6" x14ac:dyDescent="0.3">
      <c r="A1" t="s">
        <v>182</v>
      </c>
      <c r="B1" t="s">
        <v>0</v>
      </c>
      <c r="C1" t="s">
        <v>183</v>
      </c>
      <c r="D1" t="s">
        <v>184</v>
      </c>
      <c r="E1" t="s">
        <v>185</v>
      </c>
      <c r="F1" t="s">
        <v>186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07C1F-427B-487D-B703-EBF512D7AC27}">
  <dimension ref="A1:B25"/>
  <sheetViews>
    <sheetView workbookViewId="0">
      <selection activeCell="B4" sqref="B4:B6"/>
    </sheetView>
  </sheetViews>
  <sheetFormatPr defaultRowHeight="14.4" x14ac:dyDescent="0.3"/>
  <cols>
    <col min="1" max="1" width="19.33203125" style="3" customWidth="1"/>
  </cols>
  <sheetData>
    <row r="1" spans="1:2" s="1" customFormat="1" x14ac:dyDescent="0.3">
      <c r="A1" s="1" t="s">
        <v>30</v>
      </c>
      <c r="B1" s="1" t="s">
        <v>91</v>
      </c>
    </row>
    <row r="2" spans="1:2" x14ac:dyDescent="0.3">
      <c r="A2" s="3">
        <f>IF(timeseries!A2&lt;&gt;"",timeseries!A2,"")</f>
        <v>44671</v>
      </c>
      <c r="B2">
        <v>12</v>
      </c>
    </row>
    <row r="3" spans="1:2" x14ac:dyDescent="0.3">
      <c r="A3" s="3">
        <f>IF(timeseries!A3&lt;&gt;"",timeseries!A3,"")</f>
        <v>44671.041666666664</v>
      </c>
      <c r="B3">
        <v>12</v>
      </c>
    </row>
    <row r="4" spans="1:2" x14ac:dyDescent="0.3">
      <c r="A4" s="3">
        <f>IF(timeseries!A4&lt;&gt;"",timeseries!A4,"")</f>
        <v>44671.08333321759</v>
      </c>
      <c r="B4">
        <v>12</v>
      </c>
    </row>
    <row r="5" spans="1:2" x14ac:dyDescent="0.3">
      <c r="A5" s="3">
        <f>IF(timeseries!A5&lt;&gt;"",timeseries!A5,"")</f>
        <v>44671.125</v>
      </c>
      <c r="B5">
        <v>12</v>
      </c>
    </row>
    <row r="6" spans="1:2" x14ac:dyDescent="0.3">
      <c r="A6" s="3">
        <f>IF(timeseries!A6&lt;&gt;"",timeseries!A6,"")</f>
        <v>44671.166666666664</v>
      </c>
      <c r="B6">
        <v>12</v>
      </c>
    </row>
    <row r="7" spans="1:2" x14ac:dyDescent="0.3">
      <c r="A7" s="3" t="str">
        <f>IF(timeseries!A7&lt;&gt;"",timeseries!A7,"")</f>
        <v/>
      </c>
    </row>
    <row r="8" spans="1:2" x14ac:dyDescent="0.3">
      <c r="A8" s="3" t="str">
        <f>IF(timeseries!A8&lt;&gt;"",timeseries!A8,"")</f>
        <v/>
      </c>
    </row>
    <row r="9" spans="1:2" x14ac:dyDescent="0.3">
      <c r="A9" s="3" t="str">
        <f>IF(timeseries!A9&lt;&gt;"",timeseries!A9,"")</f>
        <v/>
      </c>
    </row>
    <row r="10" spans="1:2" x14ac:dyDescent="0.3">
      <c r="A10" s="3" t="str">
        <f>IF(timeseries!A10&lt;&gt;"",timeseries!A10,"")</f>
        <v/>
      </c>
    </row>
    <row r="11" spans="1:2" x14ac:dyDescent="0.3">
      <c r="A11" s="3" t="str">
        <f>IF(timeseries!A11&lt;&gt;"",timeseries!A11,"")</f>
        <v/>
      </c>
    </row>
    <row r="12" spans="1:2" x14ac:dyDescent="0.3">
      <c r="A12" s="3" t="str">
        <f>IF(timeseries!A12&lt;&gt;"",timeseries!A12,"")</f>
        <v/>
      </c>
    </row>
    <row r="13" spans="1:2" x14ac:dyDescent="0.3">
      <c r="A13" s="3" t="str">
        <f>IF(timeseries!A13&lt;&gt;"",timeseries!A13,"")</f>
        <v/>
      </c>
    </row>
    <row r="14" spans="1:2" x14ac:dyDescent="0.3">
      <c r="A14" s="3" t="str">
        <f>IF(timeseries!A14&lt;&gt;"",timeseries!A14,"")</f>
        <v/>
      </c>
    </row>
    <row r="15" spans="1:2" x14ac:dyDescent="0.3">
      <c r="A15" s="3" t="str">
        <f>IF(timeseries!A15&lt;&gt;"",timeseries!A15,"")</f>
        <v/>
      </c>
    </row>
    <row r="16" spans="1:2" x14ac:dyDescent="0.3">
      <c r="A16" s="3" t="str">
        <f>IF(timeseries!A16&lt;&gt;"",timeseries!A16,"")</f>
        <v/>
      </c>
    </row>
    <row r="17" spans="1:1" x14ac:dyDescent="0.3">
      <c r="A17" s="3" t="str">
        <f>IF(timeseries!A17&lt;&gt;"",timeseries!A17,"")</f>
        <v/>
      </c>
    </row>
    <row r="18" spans="1:1" x14ac:dyDescent="0.3">
      <c r="A18" s="3" t="str">
        <f>IF(timeseries!A18&lt;&gt;"",timeseries!A18,"")</f>
        <v/>
      </c>
    </row>
    <row r="19" spans="1:1" x14ac:dyDescent="0.3">
      <c r="A19" s="3" t="str">
        <f>IF(timeseries!A19&lt;&gt;"",timeseries!A19,"")</f>
        <v/>
      </c>
    </row>
    <row r="20" spans="1:1" x14ac:dyDescent="0.3">
      <c r="A20" s="3" t="str">
        <f>IF(timeseries!A20&lt;&gt;"",timeseries!A20,"")</f>
        <v/>
      </c>
    </row>
    <row r="21" spans="1:1" x14ac:dyDescent="0.3">
      <c r="A21" s="3" t="str">
        <f>IF(timeseries!A21&lt;&gt;"",timeseries!A21,"")</f>
        <v/>
      </c>
    </row>
    <row r="22" spans="1:1" x14ac:dyDescent="0.3">
      <c r="A22" s="3" t="str">
        <f>IF(timeseries!A22&lt;&gt;"",timeseries!A22,"")</f>
        <v/>
      </c>
    </row>
    <row r="23" spans="1:1" x14ac:dyDescent="0.3">
      <c r="A23" s="3" t="str">
        <f>IF(timeseries!A23&lt;&gt;"",timeseries!A23,"")</f>
        <v/>
      </c>
    </row>
    <row r="24" spans="1:1" x14ac:dyDescent="0.3">
      <c r="A24" s="3" t="str">
        <f>IF(timeseries!A24&lt;&gt;"",timeseries!A24,"")</f>
        <v/>
      </c>
    </row>
    <row r="25" spans="1:1" x14ac:dyDescent="0.3">
      <c r="A25" s="3" t="str">
        <f>IF(timeseries!A25&lt;&gt;"",timeseries!A25,"")</f>
        <v/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88A93-7501-4F5D-9E8F-38D329CC85EC}">
  <dimension ref="A1:K3"/>
  <sheetViews>
    <sheetView workbookViewId="0">
      <selection activeCell="A2" sqref="A2"/>
    </sheetView>
  </sheetViews>
  <sheetFormatPr defaultRowHeight="14.4" x14ac:dyDescent="0.3"/>
  <cols>
    <col min="1" max="1" width="7.33203125" bestFit="1" customWidth="1"/>
    <col min="2" max="2" width="7.6640625" bestFit="1" customWidth="1"/>
    <col min="3" max="3" width="6.6640625" bestFit="1" customWidth="1"/>
    <col min="4" max="4" width="12.33203125" bestFit="1" customWidth="1"/>
    <col min="5" max="5" width="9.33203125" bestFit="1" customWidth="1"/>
    <col min="6" max="6" width="12.6640625" bestFit="1" customWidth="1"/>
  </cols>
  <sheetData>
    <row r="1" spans="1:11" s="1" customFormat="1" x14ac:dyDescent="0.3">
      <c r="A1" s="1" t="s">
        <v>31</v>
      </c>
      <c r="B1" s="1" t="s">
        <v>178</v>
      </c>
      <c r="C1" s="1" t="s">
        <v>0</v>
      </c>
      <c r="D1" s="1" t="s">
        <v>110</v>
      </c>
      <c r="E1" s="1" t="s">
        <v>39</v>
      </c>
      <c r="F1" s="1" t="s">
        <v>65</v>
      </c>
      <c r="G1" s="1" t="s">
        <v>88</v>
      </c>
      <c r="H1" s="1" t="s">
        <v>104</v>
      </c>
      <c r="I1" s="1" t="s">
        <v>106</v>
      </c>
      <c r="J1" s="1" t="s">
        <v>107</v>
      </c>
      <c r="K1" s="1" t="s">
        <v>105</v>
      </c>
    </row>
    <row r="2" spans="1:11" x14ac:dyDescent="0.3">
      <c r="A2" s="2" t="s">
        <v>12</v>
      </c>
      <c r="B2" s="2" t="s">
        <v>37</v>
      </c>
      <c r="C2" s="2" t="s">
        <v>8</v>
      </c>
      <c r="D2" s="2" t="s">
        <v>111</v>
      </c>
      <c r="E2" s="2" t="s">
        <v>40</v>
      </c>
      <c r="F2" s="2" t="s">
        <v>40</v>
      </c>
      <c r="G2">
        <v>1</v>
      </c>
      <c r="H2">
        <v>0</v>
      </c>
      <c r="I2" s="2">
        <v>0</v>
      </c>
      <c r="J2" s="2">
        <v>0</v>
      </c>
      <c r="K2" s="2">
        <v>0</v>
      </c>
    </row>
    <row r="3" spans="1:11" x14ac:dyDescent="0.3">
      <c r="A3" s="2" t="s">
        <v>38</v>
      </c>
      <c r="B3" s="2" t="s">
        <v>36</v>
      </c>
      <c r="C3" s="2" t="s">
        <v>112</v>
      </c>
      <c r="D3" s="2" t="s">
        <v>111</v>
      </c>
      <c r="E3" s="2" t="s">
        <v>66</v>
      </c>
      <c r="F3" s="2" t="s">
        <v>64</v>
      </c>
      <c r="G3">
        <v>1</v>
      </c>
      <c r="H3">
        <v>0</v>
      </c>
      <c r="I3" s="2">
        <v>0</v>
      </c>
      <c r="J3" s="2">
        <v>0</v>
      </c>
      <c r="K3" s="2">
        <v>0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4988C-98DA-4698-A995-256723868876}">
  <dimension ref="A1:E25"/>
  <sheetViews>
    <sheetView workbookViewId="0">
      <selection activeCell="G14" sqref="G14"/>
    </sheetView>
  </sheetViews>
  <sheetFormatPr defaultRowHeight="14.4" x14ac:dyDescent="0.3"/>
  <cols>
    <col min="1" max="1" width="19.33203125" style="3" customWidth="1"/>
  </cols>
  <sheetData>
    <row r="1" spans="1:5" x14ac:dyDescent="0.3">
      <c r="A1" s="1" t="s">
        <v>30</v>
      </c>
      <c r="B1" t="s">
        <v>172</v>
      </c>
      <c r="C1" t="s">
        <v>173</v>
      </c>
      <c r="D1" t="s">
        <v>174</v>
      </c>
      <c r="E1" t="s">
        <v>175</v>
      </c>
    </row>
    <row r="2" spans="1:5" x14ac:dyDescent="0.3">
      <c r="A2" s="3">
        <f>IF(timeseries!A2&lt;&gt;"",timeseries!A2,"")</f>
        <v>44671</v>
      </c>
      <c r="B2">
        <v>45</v>
      </c>
      <c r="C2">
        <v>45</v>
      </c>
      <c r="D2">
        <v>50</v>
      </c>
      <c r="E2">
        <v>50</v>
      </c>
    </row>
    <row r="3" spans="1:5" x14ac:dyDescent="0.3">
      <c r="A3" s="3">
        <f>IF(timeseries!A3&lt;&gt;"",timeseries!A3,"")</f>
        <v>44671.041666666664</v>
      </c>
      <c r="B3">
        <v>58</v>
      </c>
      <c r="C3">
        <v>58</v>
      </c>
      <c r="D3">
        <v>62</v>
      </c>
      <c r="E3">
        <v>62</v>
      </c>
    </row>
    <row r="4" spans="1:5" x14ac:dyDescent="0.3">
      <c r="A4" s="3">
        <f>IF(timeseries!A4&lt;&gt;"",timeseries!A4,"")</f>
        <v>44671.08333321759</v>
      </c>
      <c r="B4">
        <v>55</v>
      </c>
      <c r="C4">
        <v>65</v>
      </c>
      <c r="D4">
        <v>88</v>
      </c>
      <c r="E4">
        <v>91</v>
      </c>
    </row>
    <row r="5" spans="1:5" x14ac:dyDescent="0.3">
      <c r="A5" s="3">
        <f>IF(timeseries!A5&lt;&gt;"",timeseries!A5,"")</f>
        <v>44671.125</v>
      </c>
      <c r="B5">
        <v>45</v>
      </c>
      <c r="C5">
        <v>45</v>
      </c>
      <c r="D5">
        <v>55</v>
      </c>
      <c r="E5">
        <v>55</v>
      </c>
    </row>
    <row r="6" spans="1:5" x14ac:dyDescent="0.3">
      <c r="A6" s="3">
        <f>IF(timeseries!A6&lt;&gt;"",timeseries!A6,"")</f>
        <v>44671.166666666664</v>
      </c>
      <c r="B6">
        <v>75</v>
      </c>
      <c r="C6">
        <v>75</v>
      </c>
      <c r="D6">
        <v>80</v>
      </c>
      <c r="E6">
        <v>80</v>
      </c>
    </row>
    <row r="7" spans="1:5" x14ac:dyDescent="0.3">
      <c r="A7" s="3" t="str">
        <f>IF(timeseries!A7&lt;&gt;"",timeseries!A7,"")</f>
        <v/>
      </c>
    </row>
    <row r="8" spans="1:5" x14ac:dyDescent="0.3">
      <c r="A8" s="3" t="str">
        <f>IF(timeseries!A8&lt;&gt;"",timeseries!A8,"")</f>
        <v/>
      </c>
    </row>
    <row r="9" spans="1:5" x14ac:dyDescent="0.3">
      <c r="A9" s="3" t="str">
        <f>IF(timeseries!A9&lt;&gt;"",timeseries!A9,"")</f>
        <v/>
      </c>
    </row>
    <row r="10" spans="1:5" x14ac:dyDescent="0.3">
      <c r="A10" s="3" t="str">
        <f>IF(timeseries!A10&lt;&gt;"",timeseries!A10,"")</f>
        <v/>
      </c>
    </row>
    <row r="11" spans="1:5" x14ac:dyDescent="0.3">
      <c r="A11" s="3" t="str">
        <f>IF(timeseries!A11&lt;&gt;"",timeseries!A11,"")</f>
        <v/>
      </c>
    </row>
    <row r="12" spans="1:5" x14ac:dyDescent="0.3">
      <c r="A12" s="3" t="str">
        <f>IF(timeseries!A12&lt;&gt;"",timeseries!A12,"")</f>
        <v/>
      </c>
    </row>
    <row r="13" spans="1:5" x14ac:dyDescent="0.3">
      <c r="A13" s="3" t="str">
        <f>IF(timeseries!A13&lt;&gt;"",timeseries!A13,"")</f>
        <v/>
      </c>
    </row>
    <row r="14" spans="1:5" x14ac:dyDescent="0.3">
      <c r="A14" s="3" t="str">
        <f>IF(timeseries!A14&lt;&gt;"",timeseries!A14,"")</f>
        <v/>
      </c>
    </row>
    <row r="15" spans="1:5" x14ac:dyDescent="0.3">
      <c r="A15" s="3" t="str">
        <f>IF(timeseries!A15&lt;&gt;"",timeseries!A15,"")</f>
        <v/>
      </c>
    </row>
    <row r="16" spans="1:5" x14ac:dyDescent="0.3">
      <c r="A16" s="3" t="str">
        <f>IF(timeseries!A16&lt;&gt;"",timeseries!A16,"")</f>
        <v/>
      </c>
    </row>
    <row r="17" spans="1:1" x14ac:dyDescent="0.3">
      <c r="A17" s="3" t="str">
        <f>IF(timeseries!A17&lt;&gt;"",timeseries!A17,"")</f>
        <v/>
      </c>
    </row>
    <row r="18" spans="1:1" x14ac:dyDescent="0.3">
      <c r="A18" s="3" t="str">
        <f>IF(timeseries!A18&lt;&gt;"",timeseries!A18,"")</f>
        <v/>
      </c>
    </row>
    <row r="19" spans="1:1" x14ac:dyDescent="0.3">
      <c r="A19" s="3" t="str">
        <f>IF(timeseries!A19&lt;&gt;"",timeseries!A19,"")</f>
        <v/>
      </c>
    </row>
    <row r="20" spans="1:1" x14ac:dyDescent="0.3">
      <c r="A20" s="3" t="str">
        <f>IF(timeseries!A20&lt;&gt;"",timeseries!A20,"")</f>
        <v/>
      </c>
    </row>
    <row r="21" spans="1:1" x14ac:dyDescent="0.3">
      <c r="A21" s="3" t="str">
        <f>IF(timeseries!A21&lt;&gt;"",timeseries!A21,"")</f>
        <v/>
      </c>
    </row>
    <row r="22" spans="1:1" x14ac:dyDescent="0.3">
      <c r="A22" s="3" t="str">
        <f>IF(timeseries!A22&lt;&gt;"",timeseries!A22,"")</f>
        <v/>
      </c>
    </row>
    <row r="23" spans="1:1" x14ac:dyDescent="0.3">
      <c r="A23" s="3" t="str">
        <f>IF(timeseries!A23&lt;&gt;"",timeseries!A23,"")</f>
        <v/>
      </c>
    </row>
    <row r="24" spans="1:1" x14ac:dyDescent="0.3">
      <c r="A24" s="3" t="str">
        <f>IF(timeseries!A24&lt;&gt;"",timeseries!A24,"")</f>
        <v/>
      </c>
    </row>
    <row r="25" spans="1:1" x14ac:dyDescent="0.3">
      <c r="A25" s="3" t="str">
        <f>IF(timeseries!A25&lt;&gt;"",timeseries!A25,"")</f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372C5-DB60-4318-868D-D4FA20FECD5D}">
  <dimension ref="A1:D25"/>
  <sheetViews>
    <sheetView workbookViewId="0">
      <selection activeCell="C17" sqref="C17"/>
    </sheetView>
  </sheetViews>
  <sheetFormatPr defaultRowHeight="14.4" x14ac:dyDescent="0.3"/>
  <cols>
    <col min="1" max="1" width="19.33203125" style="3" customWidth="1"/>
  </cols>
  <sheetData>
    <row r="1" spans="1:4" x14ac:dyDescent="0.3">
      <c r="A1" s="1" t="s">
        <v>30</v>
      </c>
      <c r="B1" s="2" t="s">
        <v>53</v>
      </c>
      <c r="C1" s="2" t="s">
        <v>55</v>
      </c>
      <c r="D1" s="2" t="s">
        <v>57</v>
      </c>
    </row>
    <row r="2" spans="1:4" x14ac:dyDescent="0.3">
      <c r="A2" s="3">
        <f>IF(timeseries!A2&lt;&gt;"",timeseries!A2,"")</f>
        <v>44671</v>
      </c>
      <c r="B2">
        <v>0.27</v>
      </c>
      <c r="C2">
        <v>0.27</v>
      </c>
      <c r="D2">
        <v>0.27</v>
      </c>
    </row>
    <row r="3" spans="1:4" x14ac:dyDescent="0.3">
      <c r="A3" s="3">
        <f>IF(timeseries!A3&lt;&gt;"",timeseries!A3,"")</f>
        <v>44671.041666666664</v>
      </c>
      <c r="B3">
        <v>0.27</v>
      </c>
      <c r="C3">
        <v>0.27</v>
      </c>
      <c r="D3">
        <v>0.27</v>
      </c>
    </row>
    <row r="4" spans="1:4" x14ac:dyDescent="0.3">
      <c r="A4" s="3">
        <f>IF(timeseries!A4&lt;&gt;"",timeseries!A4,"")</f>
        <v>44671.08333321759</v>
      </c>
      <c r="B4">
        <v>0.27</v>
      </c>
      <c r="C4">
        <v>0.28999999999999998</v>
      </c>
      <c r="D4">
        <v>0.31</v>
      </c>
    </row>
    <row r="5" spans="1:4" x14ac:dyDescent="0.3">
      <c r="A5" s="3">
        <f>IF(timeseries!A5&lt;&gt;"",timeseries!A5,"")</f>
        <v>44671.125</v>
      </c>
      <c r="B5">
        <v>0.27</v>
      </c>
      <c r="C5">
        <v>0.27</v>
      </c>
      <c r="D5">
        <v>0.27</v>
      </c>
    </row>
    <row r="6" spans="1:4" x14ac:dyDescent="0.3">
      <c r="A6" s="3">
        <f>IF(timeseries!A6&lt;&gt;"",timeseries!A6,"")</f>
        <v>44671.166666666664</v>
      </c>
      <c r="B6">
        <v>0.27</v>
      </c>
      <c r="C6">
        <v>0.27</v>
      </c>
      <c r="D6">
        <v>0.27</v>
      </c>
    </row>
    <row r="7" spans="1:4" x14ac:dyDescent="0.3">
      <c r="A7" s="3" t="str">
        <f>IF(timeseries!A7&lt;&gt;"",timeseries!A7,"")</f>
        <v/>
      </c>
    </row>
    <row r="8" spans="1:4" x14ac:dyDescent="0.3">
      <c r="A8" s="3" t="str">
        <f>IF(timeseries!A8&lt;&gt;"",timeseries!A8,"")</f>
        <v/>
      </c>
    </row>
    <row r="9" spans="1:4" x14ac:dyDescent="0.3">
      <c r="A9" s="3" t="str">
        <f>IF(timeseries!A9&lt;&gt;"",timeseries!A9,"")</f>
        <v/>
      </c>
    </row>
    <row r="10" spans="1:4" x14ac:dyDescent="0.3">
      <c r="A10" s="3" t="str">
        <f>IF(timeseries!A10&lt;&gt;"",timeseries!A10,"")</f>
        <v/>
      </c>
    </row>
    <row r="11" spans="1:4" x14ac:dyDescent="0.3">
      <c r="A11" s="3" t="str">
        <f>IF(timeseries!A11&lt;&gt;"",timeseries!A11,"")</f>
        <v/>
      </c>
    </row>
    <row r="12" spans="1:4" x14ac:dyDescent="0.3">
      <c r="A12" s="3" t="str">
        <f>IF(timeseries!A12&lt;&gt;"",timeseries!A12,"")</f>
        <v/>
      </c>
    </row>
    <row r="13" spans="1:4" x14ac:dyDescent="0.3">
      <c r="A13" s="3" t="str">
        <f>IF(timeseries!A13&lt;&gt;"",timeseries!A13,"")</f>
        <v/>
      </c>
    </row>
    <row r="14" spans="1:4" x14ac:dyDescent="0.3">
      <c r="A14" s="3" t="str">
        <f>IF(timeseries!A14&lt;&gt;"",timeseries!A14,"")</f>
        <v/>
      </c>
    </row>
    <row r="15" spans="1:4" x14ac:dyDescent="0.3">
      <c r="A15" s="3" t="str">
        <f>IF(timeseries!A15&lt;&gt;"",timeseries!A15,"")</f>
        <v/>
      </c>
    </row>
    <row r="16" spans="1:4" x14ac:dyDescent="0.3">
      <c r="A16" s="3" t="str">
        <f>IF(timeseries!A16&lt;&gt;"",timeseries!A16,"")</f>
        <v/>
      </c>
    </row>
    <row r="17" spans="1:1" x14ac:dyDescent="0.3">
      <c r="A17" s="3" t="str">
        <f>IF(timeseries!A17&lt;&gt;"",timeseries!A17,"")</f>
        <v/>
      </c>
    </row>
    <row r="18" spans="1:1" x14ac:dyDescent="0.3">
      <c r="A18" s="3" t="str">
        <f>IF(timeseries!A18&lt;&gt;"",timeseries!A18,"")</f>
        <v/>
      </c>
    </row>
    <row r="19" spans="1:1" x14ac:dyDescent="0.3">
      <c r="A19" s="3" t="str">
        <f>IF(timeseries!A19&lt;&gt;"",timeseries!A19,"")</f>
        <v/>
      </c>
    </row>
    <row r="20" spans="1:1" x14ac:dyDescent="0.3">
      <c r="A20" s="3" t="str">
        <f>IF(timeseries!A20&lt;&gt;"",timeseries!A20,"")</f>
        <v/>
      </c>
    </row>
    <row r="21" spans="1:1" x14ac:dyDescent="0.3">
      <c r="A21" s="3" t="str">
        <f>IF(timeseries!A21&lt;&gt;"",timeseries!A21,"")</f>
        <v/>
      </c>
    </row>
    <row r="22" spans="1:1" x14ac:dyDescent="0.3">
      <c r="A22" s="3" t="str">
        <f>IF(timeseries!A22&lt;&gt;"",timeseries!A22,"")</f>
        <v/>
      </c>
    </row>
    <row r="23" spans="1:1" x14ac:dyDescent="0.3">
      <c r="A23" s="3" t="str">
        <f>IF(timeseries!A23&lt;&gt;"",timeseries!A23,"")</f>
        <v/>
      </c>
    </row>
    <row r="24" spans="1:1" x14ac:dyDescent="0.3">
      <c r="A24" s="3" t="str">
        <f>IF(timeseries!A24&lt;&gt;"",timeseries!A24,"")</f>
        <v/>
      </c>
    </row>
    <row r="25" spans="1:1" x14ac:dyDescent="0.3">
      <c r="A25" s="3" t="str">
        <f>IF(timeseries!A25&lt;&gt;"",timeseries!A25,"")</f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DDD9A-EF34-4108-8532-230729E9C708}">
  <dimension ref="A1:G25"/>
  <sheetViews>
    <sheetView workbookViewId="0">
      <selection activeCell="C8" sqref="C8:C9"/>
    </sheetView>
  </sheetViews>
  <sheetFormatPr defaultRowHeight="14.4" x14ac:dyDescent="0.3"/>
  <cols>
    <col min="1" max="1" width="19.33203125" style="3" customWidth="1"/>
    <col min="2" max="2" width="11.44140625" customWidth="1"/>
    <col min="3" max="4" width="11.109375" customWidth="1"/>
    <col min="5" max="5" width="11.44140625" customWidth="1"/>
    <col min="6" max="6" width="11.109375" customWidth="1"/>
  </cols>
  <sheetData>
    <row r="1" spans="1:7" s="1" customFormat="1" x14ac:dyDescent="0.3">
      <c r="A1" s="1" t="s">
        <v>30</v>
      </c>
      <c r="B1" s="1" t="s">
        <v>52</v>
      </c>
      <c r="C1" s="1" t="s">
        <v>54</v>
      </c>
      <c r="D1" s="1" t="s">
        <v>56</v>
      </c>
      <c r="E1" s="1" t="s">
        <v>53</v>
      </c>
      <c r="F1" s="1" t="s">
        <v>55</v>
      </c>
      <c r="G1" s="1" t="s">
        <v>57</v>
      </c>
    </row>
    <row r="2" spans="1:7" x14ac:dyDescent="0.3">
      <c r="A2" s="3">
        <f>IF(timeseries!A2&lt;&gt;"",timeseries!A2,"")</f>
        <v>44671</v>
      </c>
      <c r="B2">
        <v>48</v>
      </c>
      <c r="C2">
        <v>48</v>
      </c>
      <c r="D2">
        <v>48</v>
      </c>
      <c r="E2">
        <v>4</v>
      </c>
      <c r="F2">
        <v>4</v>
      </c>
      <c r="G2">
        <v>4</v>
      </c>
    </row>
    <row r="3" spans="1:7" x14ac:dyDescent="0.3">
      <c r="A3" s="3">
        <f>IF(timeseries!A3&lt;&gt;"",timeseries!A3,"")</f>
        <v>44671.041666666664</v>
      </c>
      <c r="B3">
        <v>60</v>
      </c>
      <c r="C3">
        <v>60</v>
      </c>
      <c r="D3">
        <v>60</v>
      </c>
      <c r="E3">
        <v>56</v>
      </c>
      <c r="F3">
        <v>56</v>
      </c>
      <c r="G3">
        <v>56</v>
      </c>
    </row>
    <row r="4" spans="1:7" x14ac:dyDescent="0.3">
      <c r="A4" s="3">
        <f>IF(timeseries!A4&lt;&gt;"",timeseries!A4,"")</f>
        <v>44671.08333321759</v>
      </c>
      <c r="B4">
        <v>58</v>
      </c>
      <c r="C4">
        <v>87</v>
      </c>
      <c r="D4">
        <v>89</v>
      </c>
      <c r="E4">
        <v>44</v>
      </c>
      <c r="F4">
        <v>52.8</v>
      </c>
      <c r="G4">
        <v>55</v>
      </c>
    </row>
    <row r="5" spans="1:7" x14ac:dyDescent="0.3">
      <c r="A5" s="3">
        <f>IF(timeseries!A5&lt;&gt;"",timeseries!A5,"")</f>
        <v>44671.125</v>
      </c>
      <c r="B5">
        <v>50</v>
      </c>
      <c r="C5">
        <v>50</v>
      </c>
      <c r="D5">
        <v>50</v>
      </c>
      <c r="E5">
        <v>20</v>
      </c>
      <c r="F5">
        <v>20</v>
      </c>
      <c r="G5">
        <v>20</v>
      </c>
    </row>
    <row r="6" spans="1:7" x14ac:dyDescent="0.3">
      <c r="A6" s="3">
        <f>IF(timeseries!A6&lt;&gt;"",timeseries!A6,"")</f>
        <v>44671.166666666664</v>
      </c>
      <c r="B6">
        <v>76</v>
      </c>
      <c r="C6">
        <v>76</v>
      </c>
      <c r="D6">
        <v>76</v>
      </c>
      <c r="E6">
        <v>6</v>
      </c>
      <c r="F6">
        <v>6</v>
      </c>
      <c r="G6">
        <v>6</v>
      </c>
    </row>
    <row r="7" spans="1:7" x14ac:dyDescent="0.3">
      <c r="A7" s="3" t="str">
        <f>IF(timeseries!A7&lt;&gt;"",timeseries!A7,"")</f>
        <v/>
      </c>
    </row>
    <row r="8" spans="1:7" x14ac:dyDescent="0.3">
      <c r="A8" s="3" t="str">
        <f>IF(timeseries!A8&lt;&gt;"",timeseries!A8,"")</f>
        <v/>
      </c>
    </row>
    <row r="9" spans="1:7" x14ac:dyDescent="0.3">
      <c r="A9" s="3" t="str">
        <f>IF(timeseries!A9&lt;&gt;"",timeseries!A9,"")</f>
        <v/>
      </c>
    </row>
    <row r="10" spans="1:7" x14ac:dyDescent="0.3">
      <c r="A10" s="3" t="str">
        <f>IF(timeseries!A10&lt;&gt;"",timeseries!A10,"")</f>
        <v/>
      </c>
    </row>
    <row r="11" spans="1:7" x14ac:dyDescent="0.3">
      <c r="A11" s="3" t="str">
        <f>IF(timeseries!A11&lt;&gt;"",timeseries!A11,"")</f>
        <v/>
      </c>
    </row>
    <row r="12" spans="1:7" x14ac:dyDescent="0.3">
      <c r="A12" s="3" t="str">
        <f>IF(timeseries!A12&lt;&gt;"",timeseries!A12,"")</f>
        <v/>
      </c>
    </row>
    <row r="13" spans="1:7" x14ac:dyDescent="0.3">
      <c r="A13" s="3" t="str">
        <f>IF(timeseries!A13&lt;&gt;"",timeseries!A13,"")</f>
        <v/>
      </c>
    </row>
    <row r="14" spans="1:7" x14ac:dyDescent="0.3">
      <c r="A14" s="3" t="str">
        <f>IF(timeseries!A14&lt;&gt;"",timeseries!A14,"")</f>
        <v/>
      </c>
    </row>
    <row r="15" spans="1:7" x14ac:dyDescent="0.3">
      <c r="A15" s="3" t="str">
        <f>IF(timeseries!A15&lt;&gt;"",timeseries!A15,"")</f>
        <v/>
      </c>
    </row>
    <row r="16" spans="1:7" x14ac:dyDescent="0.3">
      <c r="A16" s="3" t="str">
        <f>IF(timeseries!A16&lt;&gt;"",timeseries!A16,"")</f>
        <v/>
      </c>
    </row>
    <row r="17" spans="1:1" x14ac:dyDescent="0.3">
      <c r="A17" s="3" t="str">
        <f>IF(timeseries!A17&lt;&gt;"",timeseries!A17,"")</f>
        <v/>
      </c>
    </row>
    <row r="18" spans="1:1" x14ac:dyDescent="0.3">
      <c r="A18" s="3" t="str">
        <f>IF(timeseries!A18&lt;&gt;"",timeseries!A18,"")</f>
        <v/>
      </c>
    </row>
    <row r="19" spans="1:1" x14ac:dyDescent="0.3">
      <c r="A19" s="3" t="str">
        <f>IF(timeseries!A19&lt;&gt;"",timeseries!A19,"")</f>
        <v/>
      </c>
    </row>
    <row r="20" spans="1:1" x14ac:dyDescent="0.3">
      <c r="A20" s="3" t="str">
        <f>IF(timeseries!A20&lt;&gt;"",timeseries!A20,"")</f>
        <v/>
      </c>
    </row>
    <row r="21" spans="1:1" x14ac:dyDescent="0.3">
      <c r="A21" s="3" t="str">
        <f>IF(timeseries!A21&lt;&gt;"",timeseries!A21,"")</f>
        <v/>
      </c>
    </row>
    <row r="22" spans="1:1" x14ac:dyDescent="0.3">
      <c r="A22" s="3" t="str">
        <f>IF(timeseries!A22&lt;&gt;"",timeseries!A22,"")</f>
        <v/>
      </c>
    </row>
    <row r="23" spans="1:1" x14ac:dyDescent="0.3">
      <c r="A23" s="3" t="str">
        <f>IF(timeseries!A23&lt;&gt;"",timeseries!A23,"")</f>
        <v/>
      </c>
    </row>
    <row r="24" spans="1:1" x14ac:dyDescent="0.3">
      <c r="A24" s="3" t="str">
        <f>IF(timeseries!A24&lt;&gt;"",timeseries!A24,"")</f>
        <v/>
      </c>
    </row>
    <row r="25" spans="1:1" x14ac:dyDescent="0.3">
      <c r="A25" s="3" t="str">
        <f>IF(timeseries!A25&lt;&gt;"",timeseries!A25,"")</f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FDE8F-BC70-48D0-8376-FB52E6946AF1}">
  <dimension ref="A1:G25"/>
  <sheetViews>
    <sheetView workbookViewId="0">
      <selection activeCell="A11" sqref="A11"/>
    </sheetView>
  </sheetViews>
  <sheetFormatPr defaultRowHeight="14.4" x14ac:dyDescent="0.3"/>
  <cols>
    <col min="1" max="1" width="14.33203125" bestFit="1" customWidth="1"/>
    <col min="2" max="4" width="10.33203125" customWidth="1"/>
    <col min="5" max="6" width="11.6640625" customWidth="1"/>
  </cols>
  <sheetData>
    <row r="1" spans="1:7" x14ac:dyDescent="0.3">
      <c r="A1" s="1" t="s">
        <v>30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</row>
    <row r="2" spans="1:7" x14ac:dyDescent="0.3">
      <c r="A2" s="3">
        <f>IF(timeseries!A2&lt;&gt;"",timeseries!A2,"")</f>
        <v>44671</v>
      </c>
      <c r="B2">
        <f>1.1*market_prices!B2</f>
        <v>52.800000000000004</v>
      </c>
      <c r="C2">
        <f>1.1*market_prices!C2</f>
        <v>52.800000000000004</v>
      </c>
      <c r="D2">
        <f>1.1*market_prices!C2</f>
        <v>52.800000000000004</v>
      </c>
      <c r="E2">
        <f>0.9*market_prices!B2</f>
        <v>43.2</v>
      </c>
      <c r="F2">
        <f>0.9*market_prices!C2</f>
        <v>43.2</v>
      </c>
      <c r="G2">
        <f>0.9*market_prices!C2</f>
        <v>43.2</v>
      </c>
    </row>
    <row r="3" spans="1:7" x14ac:dyDescent="0.3">
      <c r="A3" s="3">
        <f>IF(timeseries!A3&lt;&gt;"",timeseries!A3,"")</f>
        <v>44671.041666666664</v>
      </c>
      <c r="B3">
        <f>1.1*market_prices!B3</f>
        <v>66</v>
      </c>
      <c r="C3">
        <f>1.1*market_prices!C3</f>
        <v>66</v>
      </c>
      <c r="D3">
        <f>1.1*market_prices!C3</f>
        <v>66</v>
      </c>
      <c r="E3">
        <f>0.9*market_prices!B3</f>
        <v>54</v>
      </c>
      <c r="F3">
        <f>0.9*market_prices!C3</f>
        <v>54</v>
      </c>
      <c r="G3">
        <f>0.9*market_prices!C3</f>
        <v>54</v>
      </c>
    </row>
    <row r="4" spans="1:7" x14ac:dyDescent="0.3">
      <c r="A4" s="3">
        <f>IF(timeseries!A4&lt;&gt;"",timeseries!A4,"")</f>
        <v>44671.08333321759</v>
      </c>
      <c r="B4">
        <f>1.1*market_prices!B4</f>
        <v>63.800000000000004</v>
      </c>
      <c r="C4">
        <f>1.1*market_prices!C4</f>
        <v>95.7</v>
      </c>
      <c r="D4">
        <f>1.1*market_prices!C4</f>
        <v>95.7</v>
      </c>
      <c r="E4">
        <f>0.9*market_prices!B4</f>
        <v>52.2</v>
      </c>
      <c r="F4">
        <f>0.9*market_prices!C4</f>
        <v>78.3</v>
      </c>
      <c r="G4">
        <f>0.9*market_prices!C4</f>
        <v>78.3</v>
      </c>
    </row>
    <row r="5" spans="1:7" x14ac:dyDescent="0.3">
      <c r="A5" s="3">
        <f>IF(timeseries!A5&lt;&gt;"",timeseries!A5,"")</f>
        <v>44671.125</v>
      </c>
      <c r="B5">
        <f>1.1*market_prices!B5</f>
        <v>55.000000000000007</v>
      </c>
      <c r="C5">
        <f>1.1*market_prices!C5</f>
        <v>55.000000000000007</v>
      </c>
      <c r="D5">
        <f>1.1*market_prices!C5</f>
        <v>55.000000000000007</v>
      </c>
      <c r="E5">
        <f>0.9*market_prices!B5</f>
        <v>45</v>
      </c>
      <c r="F5">
        <f>0.9*market_prices!C5</f>
        <v>45</v>
      </c>
      <c r="G5">
        <f>0.9*market_prices!C5</f>
        <v>45</v>
      </c>
    </row>
    <row r="6" spans="1:7" x14ac:dyDescent="0.3">
      <c r="A6" s="3">
        <f>IF(timeseries!A6&lt;&gt;"",timeseries!A6,"")</f>
        <v>44671.166666666664</v>
      </c>
      <c r="B6">
        <f>1.1*market_prices!B6</f>
        <v>83.600000000000009</v>
      </c>
      <c r="C6">
        <f>1.1*market_prices!C6</f>
        <v>83.600000000000009</v>
      </c>
      <c r="D6">
        <f>1.1*market_prices!C6</f>
        <v>83.600000000000009</v>
      </c>
      <c r="E6">
        <f>0.9*market_prices!B6</f>
        <v>68.400000000000006</v>
      </c>
      <c r="F6">
        <f>0.9*market_prices!C6</f>
        <v>68.400000000000006</v>
      </c>
      <c r="G6">
        <f>0.9*market_prices!C6</f>
        <v>68.400000000000006</v>
      </c>
    </row>
    <row r="7" spans="1:7" x14ac:dyDescent="0.3">
      <c r="A7" s="3" t="str">
        <f>IF(timeseries!A7&lt;&gt;"",timeseries!A7,"")</f>
        <v/>
      </c>
    </row>
    <row r="8" spans="1:7" x14ac:dyDescent="0.3">
      <c r="A8" s="3" t="str">
        <f>IF(timeseries!A8&lt;&gt;"",timeseries!A8,"")</f>
        <v/>
      </c>
    </row>
    <row r="9" spans="1:7" x14ac:dyDescent="0.3">
      <c r="A9" s="3" t="str">
        <f>IF(timeseries!A9&lt;&gt;"",timeseries!A9,"")</f>
        <v/>
      </c>
    </row>
    <row r="10" spans="1:7" x14ac:dyDescent="0.3">
      <c r="A10" s="3" t="str">
        <f>IF(timeseries!A10&lt;&gt;"",timeseries!A10,"")</f>
        <v/>
      </c>
    </row>
    <row r="11" spans="1:7" x14ac:dyDescent="0.3">
      <c r="A11" s="3" t="str">
        <f>IF(timeseries!A11&lt;&gt;"",timeseries!A11,"")</f>
        <v/>
      </c>
    </row>
    <row r="12" spans="1:7" x14ac:dyDescent="0.3">
      <c r="A12" s="3" t="str">
        <f>IF(timeseries!A12&lt;&gt;"",timeseries!A12,"")</f>
        <v/>
      </c>
    </row>
    <row r="13" spans="1:7" x14ac:dyDescent="0.3">
      <c r="A13" s="3" t="str">
        <f>IF(timeseries!A13&lt;&gt;"",timeseries!A13,"")</f>
        <v/>
      </c>
    </row>
    <row r="14" spans="1:7" x14ac:dyDescent="0.3">
      <c r="A14" s="3" t="str">
        <f>IF(timeseries!A14&lt;&gt;"",timeseries!A14,"")</f>
        <v/>
      </c>
    </row>
    <row r="15" spans="1:7" x14ac:dyDescent="0.3">
      <c r="A15" s="3" t="str">
        <f>IF(timeseries!A15&lt;&gt;"",timeseries!A15,"")</f>
        <v/>
      </c>
    </row>
    <row r="16" spans="1:7" x14ac:dyDescent="0.3">
      <c r="A16" s="3" t="str">
        <f>IF(timeseries!A16&lt;&gt;"",timeseries!A16,"")</f>
        <v/>
      </c>
    </row>
    <row r="17" spans="1:1" x14ac:dyDescent="0.3">
      <c r="A17" s="3" t="str">
        <f>IF(timeseries!A17&lt;&gt;"",timeseries!A17,"")</f>
        <v/>
      </c>
    </row>
    <row r="18" spans="1:1" x14ac:dyDescent="0.3">
      <c r="A18" s="3" t="str">
        <f>IF(timeseries!A18&lt;&gt;"",timeseries!A18,"")</f>
        <v/>
      </c>
    </row>
    <row r="19" spans="1:1" x14ac:dyDescent="0.3">
      <c r="A19" s="3" t="str">
        <f>IF(timeseries!A19&lt;&gt;"",timeseries!A19,"")</f>
        <v/>
      </c>
    </row>
    <row r="20" spans="1:1" x14ac:dyDescent="0.3">
      <c r="A20" s="3" t="str">
        <f>IF(timeseries!A20&lt;&gt;"",timeseries!A20,"")</f>
        <v/>
      </c>
    </row>
    <row r="21" spans="1:1" x14ac:dyDescent="0.3">
      <c r="A21" s="3" t="str">
        <f>IF(timeseries!A21&lt;&gt;"",timeseries!A21,"")</f>
        <v/>
      </c>
    </row>
    <row r="22" spans="1:1" x14ac:dyDescent="0.3">
      <c r="A22" s="3" t="str">
        <f>IF(timeseries!A22&lt;&gt;"",timeseries!A22,"")</f>
        <v/>
      </c>
    </row>
    <row r="23" spans="1:1" x14ac:dyDescent="0.3">
      <c r="A23" s="3" t="str">
        <f>IF(timeseries!A23&lt;&gt;"",timeseries!A23,"")</f>
        <v/>
      </c>
    </row>
    <row r="24" spans="1:1" x14ac:dyDescent="0.3">
      <c r="A24" s="3" t="str">
        <f>IF(timeseries!A24&lt;&gt;"",timeseries!A24,"")</f>
        <v/>
      </c>
    </row>
    <row r="25" spans="1:1" x14ac:dyDescent="0.3">
      <c r="A25" s="3" t="str">
        <f>IF(timeseries!A25&lt;&gt;"",timeseries!A25,"")</f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F64D8-0D97-4D94-B3D0-5B7D8B3D4E80}">
  <dimension ref="A1:AQ25"/>
  <sheetViews>
    <sheetView workbookViewId="0">
      <selection activeCell="D7" sqref="D7"/>
    </sheetView>
  </sheetViews>
  <sheetFormatPr defaultRowHeight="14.4" x14ac:dyDescent="0.3"/>
  <cols>
    <col min="1" max="1" width="19.33203125" style="3" customWidth="1"/>
  </cols>
  <sheetData>
    <row r="1" spans="1:43" s="1" customFormat="1" x14ac:dyDescent="0.3">
      <c r="A1" s="1" t="s">
        <v>30</v>
      </c>
      <c r="B1" s="1" t="s">
        <v>53</v>
      </c>
      <c r="C1" s="1" t="s">
        <v>55</v>
      </c>
      <c r="D1" s="1" t="s">
        <v>57</v>
      </c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</row>
    <row r="2" spans="1:43" x14ac:dyDescent="0.3">
      <c r="A2" s="3">
        <f>IF(timeseries!A2&lt;&gt;"",timeseries!A2,"")</f>
        <v>44671</v>
      </c>
      <c r="B2">
        <v>1</v>
      </c>
      <c r="C2">
        <v>1</v>
      </c>
      <c r="D2">
        <v>1</v>
      </c>
    </row>
    <row r="3" spans="1:43" x14ac:dyDescent="0.3">
      <c r="A3" s="3">
        <f>IF(timeseries!A3&lt;&gt;"",timeseries!A3,"")</f>
        <v>44671.041666666664</v>
      </c>
      <c r="B3">
        <v>2</v>
      </c>
      <c r="C3">
        <v>2</v>
      </c>
      <c r="D3">
        <v>2</v>
      </c>
    </row>
    <row r="4" spans="1:43" x14ac:dyDescent="0.3">
      <c r="A4" s="3">
        <f>IF(timeseries!A4&lt;&gt;"",timeseries!A4,"")</f>
        <v>44671.08333321759</v>
      </c>
      <c r="B4">
        <v>3</v>
      </c>
      <c r="C4">
        <v>3</v>
      </c>
      <c r="D4">
        <v>3</v>
      </c>
    </row>
    <row r="5" spans="1:43" x14ac:dyDescent="0.3">
      <c r="A5" s="3">
        <f>IF(timeseries!A5&lt;&gt;"",timeseries!A5,"")</f>
        <v>44671.125</v>
      </c>
      <c r="B5">
        <v>2</v>
      </c>
      <c r="C5">
        <v>2</v>
      </c>
      <c r="D5">
        <v>2</v>
      </c>
    </row>
    <row r="6" spans="1:43" x14ac:dyDescent="0.3">
      <c r="A6" s="3">
        <f>IF(timeseries!A6&lt;&gt;"",timeseries!A6,"")</f>
        <v>44671.166666666664</v>
      </c>
      <c r="B6">
        <v>1</v>
      </c>
      <c r="C6">
        <v>1</v>
      </c>
      <c r="D6">
        <v>1</v>
      </c>
    </row>
    <row r="7" spans="1:43" x14ac:dyDescent="0.3">
      <c r="A7" s="3" t="str">
        <f>IF(timeseries!A7&lt;&gt;"",timeseries!A7,"")</f>
        <v/>
      </c>
    </row>
    <row r="8" spans="1:43" x14ac:dyDescent="0.3">
      <c r="A8" s="3" t="str">
        <f>IF(timeseries!A8&lt;&gt;"",timeseries!A8,"")</f>
        <v/>
      </c>
    </row>
    <row r="9" spans="1:43" x14ac:dyDescent="0.3">
      <c r="A9" s="3" t="str">
        <f>IF(timeseries!A9&lt;&gt;"",timeseries!A9,"")</f>
        <v/>
      </c>
    </row>
    <row r="10" spans="1:43" x14ac:dyDescent="0.3">
      <c r="A10" s="3" t="str">
        <f>IF(timeseries!A10&lt;&gt;"",timeseries!A10,"")</f>
        <v/>
      </c>
    </row>
    <row r="11" spans="1:43" x14ac:dyDescent="0.3">
      <c r="A11" s="3" t="str">
        <f>IF(timeseries!A11&lt;&gt;"",timeseries!A11,"")</f>
        <v/>
      </c>
    </row>
    <row r="12" spans="1:43" x14ac:dyDescent="0.3">
      <c r="A12" s="3" t="str">
        <f>IF(timeseries!A12&lt;&gt;"",timeseries!A12,"")</f>
        <v/>
      </c>
    </row>
    <row r="13" spans="1:43" x14ac:dyDescent="0.3">
      <c r="A13" s="3" t="str">
        <f>IF(timeseries!A13&lt;&gt;"",timeseries!A13,"")</f>
        <v/>
      </c>
    </row>
    <row r="14" spans="1:43" x14ac:dyDescent="0.3">
      <c r="A14" s="3" t="str">
        <f>IF(timeseries!A14&lt;&gt;"",timeseries!A14,"")</f>
        <v/>
      </c>
    </row>
    <row r="15" spans="1:43" x14ac:dyDescent="0.3">
      <c r="A15" s="3" t="str">
        <f>IF(timeseries!A15&lt;&gt;"",timeseries!A15,"")</f>
        <v/>
      </c>
    </row>
    <row r="16" spans="1:43" x14ac:dyDescent="0.3">
      <c r="A16" s="3" t="str">
        <f>IF(timeseries!A16&lt;&gt;"",timeseries!A16,"")</f>
        <v/>
      </c>
    </row>
    <row r="17" spans="1:1" x14ac:dyDescent="0.3">
      <c r="A17" s="3" t="str">
        <f>IF(timeseries!A17&lt;&gt;"",timeseries!A17,"")</f>
        <v/>
      </c>
    </row>
    <row r="18" spans="1:1" x14ac:dyDescent="0.3">
      <c r="A18" s="3" t="str">
        <f>IF(timeseries!A18&lt;&gt;"",timeseries!A18,"")</f>
        <v/>
      </c>
    </row>
    <row r="19" spans="1:1" x14ac:dyDescent="0.3">
      <c r="A19" s="3" t="str">
        <f>IF(timeseries!A19&lt;&gt;"",timeseries!A19,"")</f>
        <v/>
      </c>
    </row>
    <row r="20" spans="1:1" x14ac:dyDescent="0.3">
      <c r="A20" s="3" t="str">
        <f>IF(timeseries!A20&lt;&gt;"",timeseries!A20,"")</f>
        <v/>
      </c>
    </row>
    <row r="21" spans="1:1" x14ac:dyDescent="0.3">
      <c r="A21" s="3" t="str">
        <f>IF(timeseries!A21&lt;&gt;"",timeseries!A21,"")</f>
        <v/>
      </c>
    </row>
    <row r="22" spans="1:1" x14ac:dyDescent="0.3">
      <c r="A22" s="3" t="str">
        <f>IF(timeseries!A22&lt;&gt;"",timeseries!A22,"")</f>
        <v/>
      </c>
    </row>
    <row r="23" spans="1:1" x14ac:dyDescent="0.3">
      <c r="A23" s="3" t="str">
        <f>IF(timeseries!A23&lt;&gt;"",timeseries!A23,"")</f>
        <v/>
      </c>
    </row>
    <row r="24" spans="1:1" x14ac:dyDescent="0.3">
      <c r="A24" s="3" t="str">
        <f>IF(timeseries!A24&lt;&gt;"",timeseries!A24,"")</f>
        <v/>
      </c>
    </row>
    <row r="25" spans="1:1" x14ac:dyDescent="0.3">
      <c r="A25" s="3" t="str">
        <f>IF(timeseries!A25&lt;&gt;"",timeseries!A25,"")</f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4D326-256A-435C-AAE3-3517FA836EAE}">
  <dimension ref="A1:B3"/>
  <sheetViews>
    <sheetView workbookViewId="0">
      <selection activeCell="K25" sqref="K25"/>
    </sheetView>
  </sheetViews>
  <sheetFormatPr defaultRowHeight="14.4" x14ac:dyDescent="0.3"/>
  <cols>
    <col min="1" max="1" width="10.33203125" bestFit="1" customWidth="1"/>
  </cols>
  <sheetData>
    <row r="1" spans="1:2" x14ac:dyDescent="0.3">
      <c r="A1" s="1" t="s">
        <v>84</v>
      </c>
      <c r="B1" s="1" t="s">
        <v>85</v>
      </c>
    </row>
    <row r="2" spans="1:2" x14ac:dyDescent="0.3">
      <c r="A2" t="s">
        <v>86</v>
      </c>
      <c r="B2">
        <v>0.1</v>
      </c>
    </row>
    <row r="3" spans="1:2" x14ac:dyDescent="0.3">
      <c r="A3" t="s">
        <v>87</v>
      </c>
      <c r="B3">
        <v>0.2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AD413-E614-48C1-80E1-F1E8236FCBC6}">
  <dimension ref="A1:B4"/>
  <sheetViews>
    <sheetView workbookViewId="0">
      <selection activeCell="B3" sqref="B3"/>
    </sheetView>
  </sheetViews>
  <sheetFormatPr defaultRowHeight="14.4" x14ac:dyDescent="0.3"/>
  <sheetData>
    <row r="1" spans="1:2" s="1" customFormat="1" x14ac:dyDescent="0.3">
      <c r="A1" s="1" t="s">
        <v>41</v>
      </c>
      <c r="B1" s="1" t="s">
        <v>42</v>
      </c>
    </row>
    <row r="2" spans="1:2" x14ac:dyDescent="0.3">
      <c r="A2" t="s">
        <v>43</v>
      </c>
      <c r="B2">
        <v>0.4</v>
      </c>
    </row>
    <row r="3" spans="1:2" x14ac:dyDescent="0.3">
      <c r="A3" t="s">
        <v>44</v>
      </c>
      <c r="B3">
        <v>0.3</v>
      </c>
    </row>
    <row r="4" spans="1:2" x14ac:dyDescent="0.3">
      <c r="A4" t="s">
        <v>45</v>
      </c>
      <c r="B4">
        <v>0.3</v>
      </c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79CA5-0AA2-4F6F-8223-14BF74917F04}">
  <dimension ref="A1:A25"/>
  <sheetViews>
    <sheetView workbookViewId="0">
      <selection activeCell="L31" sqref="L31"/>
    </sheetView>
  </sheetViews>
  <sheetFormatPr defaultRowHeight="14.4" x14ac:dyDescent="0.3"/>
  <cols>
    <col min="1" max="1" width="19.33203125" style="3" customWidth="1"/>
  </cols>
  <sheetData>
    <row r="1" spans="1:1" s="1" customFormat="1" x14ac:dyDescent="0.3">
      <c r="A1" s="1" t="s">
        <v>30</v>
      </c>
    </row>
    <row r="2" spans="1:1" x14ac:dyDescent="0.3">
      <c r="A2" s="3">
        <f>IF(timeseries!A2&lt;&gt;"",timeseries!A2,"")</f>
        <v>44671</v>
      </c>
    </row>
    <row r="3" spans="1:1" x14ac:dyDescent="0.3">
      <c r="A3" s="3">
        <f>IF(timeseries!A3&lt;&gt;"",timeseries!A3,"")</f>
        <v>44671.041666666664</v>
      </c>
    </row>
    <row r="4" spans="1:1" x14ac:dyDescent="0.3">
      <c r="A4" s="3">
        <f>IF(timeseries!A4&lt;&gt;"",timeseries!A4,"")</f>
        <v>44671.08333321759</v>
      </c>
    </row>
    <row r="5" spans="1:1" x14ac:dyDescent="0.3">
      <c r="A5" s="3">
        <f>IF(timeseries!A5&lt;&gt;"",timeseries!A5,"")</f>
        <v>44671.125</v>
      </c>
    </row>
    <row r="6" spans="1:1" x14ac:dyDescent="0.3">
      <c r="A6" s="3">
        <f>IF(timeseries!A6&lt;&gt;"",timeseries!A6,"")</f>
        <v>44671.166666666664</v>
      </c>
    </row>
    <row r="7" spans="1:1" x14ac:dyDescent="0.3">
      <c r="A7" s="3" t="str">
        <f>IF(timeseries!A7&lt;&gt;"",timeseries!A7,"")</f>
        <v/>
      </c>
    </row>
    <row r="8" spans="1:1" x14ac:dyDescent="0.3">
      <c r="A8" s="3" t="str">
        <f>IF(timeseries!A8&lt;&gt;"",timeseries!A8,"")</f>
        <v/>
      </c>
    </row>
    <row r="9" spans="1:1" x14ac:dyDescent="0.3">
      <c r="A9" s="3" t="str">
        <f>IF(timeseries!A9&lt;&gt;"",timeseries!A9,"")</f>
        <v/>
      </c>
    </row>
    <row r="10" spans="1:1" x14ac:dyDescent="0.3">
      <c r="A10" s="3" t="str">
        <f>IF(timeseries!A10&lt;&gt;"",timeseries!A10,"")</f>
        <v/>
      </c>
    </row>
    <row r="11" spans="1:1" x14ac:dyDescent="0.3">
      <c r="A11" s="3" t="str">
        <f>IF(timeseries!A11&lt;&gt;"",timeseries!A11,"")</f>
        <v/>
      </c>
    </row>
    <row r="12" spans="1:1" x14ac:dyDescent="0.3">
      <c r="A12" s="3" t="str">
        <f>IF(timeseries!A12&lt;&gt;"",timeseries!A12,"")</f>
        <v/>
      </c>
    </row>
    <row r="13" spans="1:1" x14ac:dyDescent="0.3">
      <c r="A13" s="3" t="str">
        <f>IF(timeseries!A13&lt;&gt;"",timeseries!A13,"")</f>
        <v/>
      </c>
    </row>
    <row r="14" spans="1:1" x14ac:dyDescent="0.3">
      <c r="A14" s="3" t="str">
        <f>IF(timeseries!A14&lt;&gt;"",timeseries!A14,"")</f>
        <v/>
      </c>
    </row>
    <row r="15" spans="1:1" x14ac:dyDescent="0.3">
      <c r="A15" s="3" t="str">
        <f>IF(timeseries!A15&lt;&gt;"",timeseries!A15,"")</f>
        <v/>
      </c>
    </row>
    <row r="16" spans="1:1" x14ac:dyDescent="0.3">
      <c r="A16" s="3" t="str">
        <f>IF(timeseries!A16&lt;&gt;"",timeseries!A16,"")</f>
        <v/>
      </c>
    </row>
    <row r="17" spans="1:1" x14ac:dyDescent="0.3">
      <c r="A17" s="3" t="str">
        <f>IF(timeseries!A17&lt;&gt;"",timeseries!A17,"")</f>
        <v/>
      </c>
    </row>
    <row r="18" spans="1:1" x14ac:dyDescent="0.3">
      <c r="A18" s="3" t="str">
        <f>IF(timeseries!A18&lt;&gt;"",timeseries!A18,"")</f>
        <v/>
      </c>
    </row>
    <row r="19" spans="1:1" x14ac:dyDescent="0.3">
      <c r="A19" s="3" t="str">
        <f>IF(timeseries!A19&lt;&gt;"",timeseries!A19,"")</f>
        <v/>
      </c>
    </row>
    <row r="20" spans="1:1" x14ac:dyDescent="0.3">
      <c r="A20" s="3" t="str">
        <f>IF(timeseries!A20&lt;&gt;"",timeseries!A20,"")</f>
        <v/>
      </c>
    </row>
    <row r="21" spans="1:1" x14ac:dyDescent="0.3">
      <c r="A21" s="3" t="str">
        <f>IF(timeseries!A21&lt;&gt;"",timeseries!A21,"")</f>
        <v/>
      </c>
    </row>
    <row r="22" spans="1:1" x14ac:dyDescent="0.3">
      <c r="A22" s="3" t="str">
        <f>IF(timeseries!A22&lt;&gt;"",timeseries!A22,"")</f>
        <v/>
      </c>
    </row>
    <row r="23" spans="1:1" x14ac:dyDescent="0.3">
      <c r="A23" s="3" t="str">
        <f>IF(timeseries!A23&lt;&gt;"",timeseries!A23,"")</f>
        <v/>
      </c>
    </row>
    <row r="24" spans="1:1" x14ac:dyDescent="0.3">
      <c r="A24" s="3" t="str">
        <f>IF(timeseries!A24&lt;&gt;"",timeseries!A24,"")</f>
        <v/>
      </c>
    </row>
    <row r="25" spans="1:1" x14ac:dyDescent="0.3">
      <c r="A25" s="3" t="str">
        <f>IF(timeseries!A25&lt;&gt;"",timeseries!A25,"")</f>
        <v/>
      </c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70E02-665B-45B8-BC4E-9596D2C1BC55}">
  <dimension ref="A1:D25"/>
  <sheetViews>
    <sheetView workbookViewId="0">
      <selection activeCell="E20" sqref="E20"/>
    </sheetView>
  </sheetViews>
  <sheetFormatPr defaultRowHeight="14.4" x14ac:dyDescent="0.3"/>
  <cols>
    <col min="1" max="1" width="19.33203125" style="3" customWidth="1"/>
  </cols>
  <sheetData>
    <row r="1" spans="1:4" s="1" customFormat="1" x14ac:dyDescent="0.3">
      <c r="A1" s="1" t="s">
        <v>30</v>
      </c>
      <c r="B1" s="1" t="s">
        <v>132</v>
      </c>
      <c r="C1" s="1" t="s">
        <v>133</v>
      </c>
      <c r="D1" s="1" t="s">
        <v>134</v>
      </c>
    </row>
    <row r="2" spans="1:4" x14ac:dyDescent="0.3">
      <c r="A2" s="3">
        <f>IF(timeseries!A2&lt;&gt;"",timeseries!A2,"")</f>
        <v>44671</v>
      </c>
      <c r="B2">
        <v>3</v>
      </c>
      <c r="C2">
        <v>3</v>
      </c>
      <c r="D2">
        <v>3</v>
      </c>
    </row>
    <row r="3" spans="1:4" x14ac:dyDescent="0.3">
      <c r="A3" s="3">
        <f>IF(timeseries!A3&lt;&gt;"",timeseries!A3,"")</f>
        <v>44671.041666666664</v>
      </c>
      <c r="B3">
        <v>3.5</v>
      </c>
      <c r="C3">
        <v>3.5</v>
      </c>
      <c r="D3">
        <v>3.5</v>
      </c>
    </row>
    <row r="4" spans="1:4" x14ac:dyDescent="0.3">
      <c r="A4" s="3">
        <f>IF(timeseries!A4&lt;&gt;"",timeseries!A4,"")</f>
        <v>44671.08333321759</v>
      </c>
      <c r="B4">
        <v>3.5</v>
      </c>
      <c r="C4">
        <v>3.5</v>
      </c>
      <c r="D4">
        <v>3.5</v>
      </c>
    </row>
    <row r="5" spans="1:4" x14ac:dyDescent="0.3">
      <c r="A5" s="3">
        <f>IF(timeseries!A5&lt;&gt;"",timeseries!A5,"")</f>
        <v>44671.125</v>
      </c>
      <c r="B5">
        <v>3</v>
      </c>
      <c r="C5">
        <v>3</v>
      </c>
      <c r="D5">
        <v>3</v>
      </c>
    </row>
    <row r="6" spans="1:4" x14ac:dyDescent="0.3">
      <c r="A6" s="3">
        <f>IF(timeseries!A6&lt;&gt;"",timeseries!A6,"")</f>
        <v>44671.166666666664</v>
      </c>
      <c r="B6">
        <v>3</v>
      </c>
      <c r="C6">
        <v>3</v>
      </c>
      <c r="D6">
        <v>3</v>
      </c>
    </row>
    <row r="7" spans="1:4" x14ac:dyDescent="0.3">
      <c r="A7" s="3" t="str">
        <f>IF(timeseries!A7&lt;&gt;"",timeseries!A7,"")</f>
        <v/>
      </c>
    </row>
    <row r="8" spans="1:4" x14ac:dyDescent="0.3">
      <c r="A8" s="3" t="str">
        <f>IF(timeseries!A8&lt;&gt;"",timeseries!A8,"")</f>
        <v/>
      </c>
    </row>
    <row r="9" spans="1:4" x14ac:dyDescent="0.3">
      <c r="A9" s="3" t="str">
        <f>IF(timeseries!A9&lt;&gt;"",timeseries!A9,"")</f>
        <v/>
      </c>
    </row>
    <row r="10" spans="1:4" x14ac:dyDescent="0.3">
      <c r="A10" s="3" t="str">
        <f>IF(timeseries!A10&lt;&gt;"",timeseries!A10,"")</f>
        <v/>
      </c>
    </row>
    <row r="11" spans="1:4" x14ac:dyDescent="0.3">
      <c r="A11" s="3" t="str">
        <f>IF(timeseries!A11&lt;&gt;"",timeseries!A11,"")</f>
        <v/>
      </c>
    </row>
    <row r="12" spans="1:4" x14ac:dyDescent="0.3">
      <c r="A12" s="3" t="str">
        <f>IF(timeseries!A12&lt;&gt;"",timeseries!A12,"")</f>
        <v/>
      </c>
    </row>
    <row r="13" spans="1:4" x14ac:dyDescent="0.3">
      <c r="A13" s="3" t="str">
        <f>IF(timeseries!A13&lt;&gt;"",timeseries!A13,"")</f>
        <v/>
      </c>
    </row>
    <row r="14" spans="1:4" x14ac:dyDescent="0.3">
      <c r="A14" s="3" t="str">
        <f>IF(timeseries!A14&lt;&gt;"",timeseries!A14,"")</f>
        <v/>
      </c>
    </row>
    <row r="15" spans="1:4" x14ac:dyDescent="0.3">
      <c r="A15" s="3" t="str">
        <f>IF(timeseries!A15&lt;&gt;"",timeseries!A15,"")</f>
        <v/>
      </c>
    </row>
    <row r="16" spans="1:4" x14ac:dyDescent="0.3">
      <c r="A16" s="3" t="str">
        <f>IF(timeseries!A16&lt;&gt;"",timeseries!A16,"")</f>
        <v/>
      </c>
    </row>
    <row r="17" spans="1:1" x14ac:dyDescent="0.3">
      <c r="A17" s="3" t="str">
        <f>IF(timeseries!A17&lt;&gt;"",timeseries!A17,"")</f>
        <v/>
      </c>
    </row>
    <row r="18" spans="1:1" x14ac:dyDescent="0.3">
      <c r="A18" s="3" t="str">
        <f>IF(timeseries!A18&lt;&gt;"",timeseries!A18,"")</f>
        <v/>
      </c>
    </row>
    <row r="19" spans="1:1" x14ac:dyDescent="0.3">
      <c r="A19" s="3" t="str">
        <f>IF(timeseries!A19&lt;&gt;"",timeseries!A19,"")</f>
        <v/>
      </c>
    </row>
    <row r="20" spans="1:1" x14ac:dyDescent="0.3">
      <c r="A20" s="3" t="str">
        <f>IF(timeseries!A20&lt;&gt;"",timeseries!A20,"")</f>
        <v/>
      </c>
    </row>
    <row r="21" spans="1:1" x14ac:dyDescent="0.3">
      <c r="A21" s="3" t="str">
        <f>IF(timeseries!A21&lt;&gt;"",timeseries!A21,"")</f>
        <v/>
      </c>
    </row>
    <row r="22" spans="1:1" x14ac:dyDescent="0.3">
      <c r="A22" s="3" t="str">
        <f>IF(timeseries!A22&lt;&gt;"",timeseries!A22,"")</f>
        <v/>
      </c>
    </row>
    <row r="23" spans="1:1" x14ac:dyDescent="0.3">
      <c r="A23" s="3" t="str">
        <f>IF(timeseries!A23&lt;&gt;"",timeseries!A23,"")</f>
        <v/>
      </c>
    </row>
    <row r="24" spans="1:1" x14ac:dyDescent="0.3">
      <c r="A24" s="3" t="str">
        <f>IF(timeseries!A24&lt;&gt;"",timeseries!A24,"")</f>
        <v/>
      </c>
    </row>
    <row r="25" spans="1:1" x14ac:dyDescent="0.3">
      <c r="A25" s="3" t="str">
        <f>IF(timeseries!A25&lt;&gt;"",timeseries!A25,"")</f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4FC51-737E-45F9-9A9E-85A96AFE5439}">
  <dimension ref="A1:L28"/>
  <sheetViews>
    <sheetView workbookViewId="0">
      <selection activeCell="H14" sqref="H14"/>
    </sheetView>
  </sheetViews>
  <sheetFormatPr defaultRowHeight="14.4" x14ac:dyDescent="0.3"/>
  <cols>
    <col min="1" max="1" width="17.6640625" bestFit="1" customWidth="1"/>
    <col min="3" max="3" width="22.5546875" bestFit="1" customWidth="1"/>
    <col min="4" max="4" width="25.6640625" bestFit="1" customWidth="1"/>
    <col min="6" max="6" width="14.33203125" customWidth="1"/>
    <col min="7" max="7" width="15.33203125" customWidth="1"/>
    <col min="12" max="21" width="3.88671875" customWidth="1"/>
  </cols>
  <sheetData>
    <row r="1" spans="1:12" x14ac:dyDescent="0.3">
      <c r="A1" t="s">
        <v>41</v>
      </c>
      <c r="B1" t="s">
        <v>90</v>
      </c>
      <c r="C1" t="s">
        <v>108</v>
      </c>
      <c r="D1" t="s">
        <v>109</v>
      </c>
    </row>
    <row r="2" spans="1:12" x14ac:dyDescent="0.3">
      <c r="A2" t="s">
        <v>68</v>
      </c>
      <c r="B2" t="s">
        <v>69</v>
      </c>
      <c r="C2">
        <v>0</v>
      </c>
      <c r="D2">
        <v>0</v>
      </c>
    </row>
    <row r="3" spans="1:12" x14ac:dyDescent="0.3">
      <c r="A3" t="s">
        <v>151</v>
      </c>
      <c r="B3" t="s">
        <v>152</v>
      </c>
      <c r="C3">
        <v>1</v>
      </c>
      <c r="D3">
        <v>1</v>
      </c>
    </row>
    <row r="4" spans="1:12" x14ac:dyDescent="0.3">
      <c r="A4" t="s">
        <v>154</v>
      </c>
      <c r="B4" t="s">
        <v>153</v>
      </c>
      <c r="C4">
        <v>1</v>
      </c>
      <c r="D4">
        <v>1</v>
      </c>
    </row>
    <row r="9" spans="1:12" x14ac:dyDescent="0.3">
      <c r="J9" s="1"/>
      <c r="K9" s="1"/>
      <c r="L9" s="1"/>
    </row>
    <row r="26" spans="6:7" x14ac:dyDescent="0.3">
      <c r="F26" s="3"/>
    </row>
    <row r="28" spans="6:7" x14ac:dyDescent="0.3">
      <c r="F28" s="3"/>
      <c r="G28" s="3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2AB76-2BDA-4ACA-A128-8CFB9FB6C8F8}">
  <dimension ref="A1:P25"/>
  <sheetViews>
    <sheetView workbookViewId="0">
      <selection activeCell="B28" sqref="B28"/>
    </sheetView>
  </sheetViews>
  <sheetFormatPr defaultRowHeight="14.4" x14ac:dyDescent="0.3"/>
  <cols>
    <col min="1" max="1" width="19.33203125" style="3" customWidth="1"/>
    <col min="2" max="3" width="14.44140625" bestFit="1" customWidth="1"/>
    <col min="4" max="4" width="14.44140625" customWidth="1"/>
    <col min="5" max="6" width="14.109375" bestFit="1" customWidth="1"/>
    <col min="7" max="7" width="14.109375" customWidth="1"/>
    <col min="8" max="9" width="5.33203125" bestFit="1" customWidth="1"/>
    <col min="10" max="10" width="5.33203125" customWidth="1"/>
  </cols>
  <sheetData>
    <row r="1" spans="1:16" x14ac:dyDescent="0.3">
      <c r="A1" s="1" t="s">
        <v>30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155</v>
      </c>
      <c r="L1" t="s">
        <v>156</v>
      </c>
      <c r="M1" t="s">
        <v>164</v>
      </c>
      <c r="N1" t="s">
        <v>157</v>
      </c>
      <c r="O1" t="s">
        <v>158</v>
      </c>
      <c r="P1" t="s">
        <v>165</v>
      </c>
    </row>
    <row r="2" spans="1:16" x14ac:dyDescent="0.3">
      <c r="A2" s="3">
        <f>IF(timeseries!A2&lt;&gt;"",timeseries!A2,"")</f>
        <v>44671</v>
      </c>
      <c r="B2">
        <v>1</v>
      </c>
      <c r="C2">
        <v>1</v>
      </c>
      <c r="D2">
        <v>1</v>
      </c>
      <c r="E2">
        <v>-0.8</v>
      </c>
      <c r="F2">
        <v>-0.8</v>
      </c>
      <c r="G2">
        <v>-0.8</v>
      </c>
      <c r="H2">
        <v>0</v>
      </c>
      <c r="I2">
        <v>0</v>
      </c>
      <c r="J2">
        <v>0</v>
      </c>
      <c r="K2">
        <v>300</v>
      </c>
      <c r="L2">
        <v>300</v>
      </c>
      <c r="M2">
        <v>300</v>
      </c>
      <c r="N2">
        <v>256</v>
      </c>
      <c r="O2">
        <v>256</v>
      </c>
      <c r="P2">
        <v>256</v>
      </c>
    </row>
    <row r="3" spans="1:16" x14ac:dyDescent="0.3">
      <c r="A3" s="3">
        <f>IF(timeseries!A3&lt;&gt;"",timeseries!A3,"")</f>
        <v>44671.041666666664</v>
      </c>
      <c r="B3">
        <v>1</v>
      </c>
      <c r="C3">
        <v>1</v>
      </c>
      <c r="D3">
        <v>1</v>
      </c>
      <c r="E3">
        <v>-0.8</v>
      </c>
      <c r="F3">
        <v>-0.8</v>
      </c>
      <c r="G3">
        <v>-0.8</v>
      </c>
      <c r="H3">
        <v>0</v>
      </c>
      <c r="I3">
        <v>0</v>
      </c>
      <c r="J3">
        <v>0</v>
      </c>
      <c r="K3">
        <v>300</v>
      </c>
      <c r="L3">
        <v>300</v>
      </c>
      <c r="M3">
        <v>300</v>
      </c>
      <c r="N3">
        <v>256</v>
      </c>
      <c r="O3">
        <v>256</v>
      </c>
      <c r="P3">
        <v>256</v>
      </c>
    </row>
    <row r="4" spans="1:16" x14ac:dyDescent="0.3">
      <c r="A4" s="3">
        <f>IF(timeseries!A4&lt;&gt;"",timeseries!A4,"")</f>
        <v>44671.08333321759</v>
      </c>
      <c r="B4">
        <v>1</v>
      </c>
      <c r="C4">
        <v>1</v>
      </c>
      <c r="D4">
        <v>1</v>
      </c>
      <c r="E4">
        <v>-0.8</v>
      </c>
      <c r="F4">
        <v>-0.8</v>
      </c>
      <c r="G4">
        <v>-0.8</v>
      </c>
      <c r="H4">
        <v>0</v>
      </c>
      <c r="I4">
        <v>0</v>
      </c>
      <c r="J4">
        <v>0</v>
      </c>
      <c r="K4">
        <v>300</v>
      </c>
      <c r="L4">
        <v>300</v>
      </c>
      <c r="M4">
        <v>300</v>
      </c>
      <c r="N4">
        <v>256</v>
      </c>
      <c r="O4">
        <v>256</v>
      </c>
      <c r="P4">
        <v>256</v>
      </c>
    </row>
    <row r="5" spans="1:16" x14ac:dyDescent="0.3">
      <c r="A5" s="3">
        <f>IF(timeseries!A5&lt;&gt;"",timeseries!A5,"")</f>
        <v>44671.125</v>
      </c>
      <c r="B5">
        <v>1</v>
      </c>
      <c r="C5">
        <v>1</v>
      </c>
      <c r="D5">
        <v>1</v>
      </c>
      <c r="E5">
        <v>-0.8</v>
      </c>
      <c r="F5">
        <v>-0.8</v>
      </c>
      <c r="G5">
        <v>-0.8</v>
      </c>
      <c r="H5">
        <v>0</v>
      </c>
      <c r="I5">
        <v>0</v>
      </c>
      <c r="J5">
        <v>0</v>
      </c>
      <c r="K5">
        <v>300</v>
      </c>
      <c r="L5">
        <v>300</v>
      </c>
      <c r="M5">
        <v>300</v>
      </c>
      <c r="N5">
        <v>256</v>
      </c>
      <c r="O5">
        <v>256</v>
      </c>
      <c r="P5">
        <v>256</v>
      </c>
    </row>
    <row r="6" spans="1:16" x14ac:dyDescent="0.3">
      <c r="A6" s="3">
        <f>IF(timeseries!A6&lt;&gt;"",timeseries!A6,"")</f>
        <v>44671.166666666664</v>
      </c>
      <c r="B6">
        <v>1</v>
      </c>
      <c r="C6">
        <v>1</v>
      </c>
      <c r="D6">
        <v>1</v>
      </c>
      <c r="E6">
        <v>-0.8</v>
      </c>
      <c r="F6">
        <v>-0.8</v>
      </c>
      <c r="G6">
        <v>-0.8</v>
      </c>
      <c r="H6">
        <v>0</v>
      </c>
      <c r="I6">
        <v>0</v>
      </c>
      <c r="J6">
        <v>0</v>
      </c>
      <c r="K6">
        <v>300</v>
      </c>
      <c r="L6">
        <v>300</v>
      </c>
      <c r="M6">
        <v>300</v>
      </c>
      <c r="N6">
        <v>256</v>
      </c>
      <c r="O6">
        <v>256</v>
      </c>
      <c r="P6">
        <v>256</v>
      </c>
    </row>
    <row r="7" spans="1:16" x14ac:dyDescent="0.3">
      <c r="A7" s="3" t="str">
        <f>IF(timeseries!A7&lt;&gt;"",timeseries!A7,"")</f>
        <v/>
      </c>
    </row>
    <row r="8" spans="1:16" x14ac:dyDescent="0.3">
      <c r="A8" s="3" t="str">
        <f>IF(timeseries!A8&lt;&gt;"",timeseries!A8,"")</f>
        <v/>
      </c>
    </row>
    <row r="9" spans="1:16" x14ac:dyDescent="0.3">
      <c r="A9" s="3" t="str">
        <f>IF(timeseries!A9&lt;&gt;"",timeseries!A9,"")</f>
        <v/>
      </c>
    </row>
    <row r="10" spans="1:16" x14ac:dyDescent="0.3">
      <c r="A10" s="3" t="str">
        <f>IF(timeseries!A10&lt;&gt;"",timeseries!A10,"")</f>
        <v/>
      </c>
    </row>
    <row r="11" spans="1:16" x14ac:dyDescent="0.3">
      <c r="A11" s="3" t="str">
        <f>IF(timeseries!A11&lt;&gt;"",timeseries!A11,"")</f>
        <v/>
      </c>
    </row>
    <row r="12" spans="1:16" x14ac:dyDescent="0.3">
      <c r="A12" s="3" t="str">
        <f>IF(timeseries!A12&lt;&gt;"",timeseries!A12,"")</f>
        <v/>
      </c>
    </row>
    <row r="13" spans="1:16" x14ac:dyDescent="0.3">
      <c r="A13" s="3" t="str">
        <f>IF(timeseries!A13&lt;&gt;"",timeseries!A13,"")</f>
        <v/>
      </c>
    </row>
    <row r="14" spans="1:16" x14ac:dyDescent="0.3">
      <c r="A14" s="3" t="str">
        <f>IF(timeseries!A14&lt;&gt;"",timeseries!A14,"")</f>
        <v/>
      </c>
    </row>
    <row r="15" spans="1:16" x14ac:dyDescent="0.3">
      <c r="A15" s="3" t="str">
        <f>IF(timeseries!A15&lt;&gt;"",timeseries!A15,"")</f>
        <v/>
      </c>
    </row>
    <row r="16" spans="1:16" x14ac:dyDescent="0.3">
      <c r="A16" s="3" t="str">
        <f>IF(timeseries!A16&lt;&gt;"",timeseries!A16,"")</f>
        <v/>
      </c>
    </row>
    <row r="17" spans="1:1" x14ac:dyDescent="0.3">
      <c r="A17" s="3" t="str">
        <f>IF(timeseries!A17&lt;&gt;"",timeseries!A17,"")</f>
        <v/>
      </c>
    </row>
    <row r="18" spans="1:1" x14ac:dyDescent="0.3">
      <c r="A18" s="3" t="str">
        <f>IF(timeseries!A18&lt;&gt;"",timeseries!A18,"")</f>
        <v/>
      </c>
    </row>
    <row r="19" spans="1:1" x14ac:dyDescent="0.3">
      <c r="A19" s="3" t="str">
        <f>IF(timeseries!A19&lt;&gt;"",timeseries!A19,"")</f>
        <v/>
      </c>
    </row>
    <row r="20" spans="1:1" x14ac:dyDescent="0.3">
      <c r="A20" s="3" t="str">
        <f>IF(timeseries!A20&lt;&gt;"",timeseries!A20,"")</f>
        <v/>
      </c>
    </row>
    <row r="21" spans="1:1" x14ac:dyDescent="0.3">
      <c r="A21" s="3" t="str">
        <f>IF(timeseries!A21&lt;&gt;"",timeseries!A21,"")</f>
        <v/>
      </c>
    </row>
    <row r="22" spans="1:1" x14ac:dyDescent="0.3">
      <c r="A22" s="3" t="str">
        <f>IF(timeseries!A22&lt;&gt;"",timeseries!A22,"")</f>
        <v/>
      </c>
    </row>
    <row r="23" spans="1:1" x14ac:dyDescent="0.3">
      <c r="A23" s="3" t="str">
        <f>IF(timeseries!A23&lt;&gt;"",timeseries!A23,"")</f>
        <v/>
      </c>
    </row>
    <row r="24" spans="1:1" x14ac:dyDescent="0.3">
      <c r="A24" s="3" t="str">
        <f>IF(timeseries!A24&lt;&gt;"",timeseries!A24,"")</f>
        <v/>
      </c>
    </row>
    <row r="25" spans="1:1" x14ac:dyDescent="0.3">
      <c r="A25" s="3" t="str">
        <f>IF(timeseries!A25&lt;&gt;"",timeseries!A25,"")</f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EDBA5-B0F3-4E9D-9367-08D5F5FA8AEA}">
  <dimension ref="A1:D25"/>
  <sheetViews>
    <sheetView workbookViewId="0">
      <selection activeCell="C13" sqref="C13"/>
    </sheetView>
  </sheetViews>
  <sheetFormatPr defaultRowHeight="14.4" x14ac:dyDescent="0.3"/>
  <cols>
    <col min="1" max="1" width="19.33203125" style="3" customWidth="1"/>
  </cols>
  <sheetData>
    <row r="1" spans="1:4" x14ac:dyDescent="0.3">
      <c r="A1" s="1" t="s">
        <v>30</v>
      </c>
      <c r="B1" t="s">
        <v>80</v>
      </c>
      <c r="C1" t="s">
        <v>81</v>
      </c>
      <c r="D1" t="s">
        <v>82</v>
      </c>
    </row>
    <row r="2" spans="1:4" x14ac:dyDescent="0.3">
      <c r="A2" s="3">
        <f>IF(timeseries!A2&lt;&gt;"",timeseries!A2,"")</f>
        <v>44671</v>
      </c>
      <c r="B2">
        <v>5</v>
      </c>
      <c r="C2">
        <v>5</v>
      </c>
      <c r="D2">
        <v>5</v>
      </c>
    </row>
    <row r="3" spans="1:4" x14ac:dyDescent="0.3">
      <c r="A3" s="3">
        <f>IF(timeseries!A3&lt;&gt;"",timeseries!A3,"")</f>
        <v>44671.041666666664</v>
      </c>
      <c r="B3">
        <v>4.2857142857142856</v>
      </c>
      <c r="C3">
        <v>4.2857142857142856</v>
      </c>
      <c r="D3">
        <v>4.28571428571429</v>
      </c>
    </row>
    <row r="4" spans="1:4" x14ac:dyDescent="0.3">
      <c r="A4" s="3">
        <f>IF(timeseries!A4&lt;&gt;"",timeseries!A4,"")</f>
        <v>44671.08333321759</v>
      </c>
      <c r="B4">
        <v>4.2857142857142856</v>
      </c>
      <c r="C4">
        <v>4.2857142857142856</v>
      </c>
      <c r="D4">
        <v>4.28571428571429</v>
      </c>
    </row>
    <row r="5" spans="1:4" x14ac:dyDescent="0.3">
      <c r="A5" s="3">
        <f>IF(timeseries!A5&lt;&gt;"",timeseries!A5,"")</f>
        <v>44671.125</v>
      </c>
      <c r="B5">
        <v>4.2857142857142856</v>
      </c>
      <c r="C5">
        <v>4.2857142857142856</v>
      </c>
      <c r="D5">
        <v>4.28571428571429</v>
      </c>
    </row>
    <row r="6" spans="1:4" x14ac:dyDescent="0.3">
      <c r="A6" s="3">
        <f>IF(timeseries!A6&lt;&gt;"",timeseries!A6,"")</f>
        <v>44671.166666666664</v>
      </c>
      <c r="B6">
        <v>4.2857142857142856</v>
      </c>
      <c r="C6">
        <v>4.2857142857142856</v>
      </c>
      <c r="D6">
        <v>4.28571428571429</v>
      </c>
    </row>
    <row r="7" spans="1:4" x14ac:dyDescent="0.3">
      <c r="A7" s="3" t="str">
        <f>IF(timeseries!A7&lt;&gt;"",timeseries!A7,"")</f>
        <v/>
      </c>
    </row>
    <row r="8" spans="1:4" x14ac:dyDescent="0.3">
      <c r="A8" s="3" t="str">
        <f>IF(timeseries!A8&lt;&gt;"",timeseries!A8,"")</f>
        <v/>
      </c>
    </row>
    <row r="9" spans="1:4" x14ac:dyDescent="0.3">
      <c r="A9" s="3" t="str">
        <f>IF(timeseries!A9&lt;&gt;"",timeseries!A9,"")</f>
        <v/>
      </c>
    </row>
    <row r="10" spans="1:4" x14ac:dyDescent="0.3">
      <c r="A10" s="3" t="str">
        <f>IF(timeseries!A10&lt;&gt;"",timeseries!A10,"")</f>
        <v/>
      </c>
    </row>
    <row r="11" spans="1:4" x14ac:dyDescent="0.3">
      <c r="A11" s="3" t="str">
        <f>IF(timeseries!A11&lt;&gt;"",timeseries!A11,"")</f>
        <v/>
      </c>
    </row>
    <row r="12" spans="1:4" x14ac:dyDescent="0.3">
      <c r="A12" s="3" t="str">
        <f>IF(timeseries!A12&lt;&gt;"",timeseries!A12,"")</f>
        <v/>
      </c>
    </row>
    <row r="13" spans="1:4" x14ac:dyDescent="0.3">
      <c r="A13" s="3" t="str">
        <f>IF(timeseries!A13&lt;&gt;"",timeseries!A13,"")</f>
        <v/>
      </c>
    </row>
    <row r="14" spans="1:4" x14ac:dyDescent="0.3">
      <c r="A14" s="3" t="str">
        <f>IF(timeseries!A14&lt;&gt;"",timeseries!A14,"")</f>
        <v/>
      </c>
    </row>
    <row r="15" spans="1:4" x14ac:dyDescent="0.3">
      <c r="A15" s="3" t="str">
        <f>IF(timeseries!A15&lt;&gt;"",timeseries!A15,"")</f>
        <v/>
      </c>
    </row>
    <row r="16" spans="1:4" x14ac:dyDescent="0.3">
      <c r="A16" s="3" t="str">
        <f>IF(timeseries!A16&lt;&gt;"",timeseries!A16,"")</f>
        <v/>
      </c>
    </row>
    <row r="17" spans="1:1" x14ac:dyDescent="0.3">
      <c r="A17" s="3" t="str">
        <f>IF(timeseries!A17&lt;&gt;"",timeseries!A17,"")</f>
        <v/>
      </c>
    </row>
    <row r="18" spans="1:1" x14ac:dyDescent="0.3">
      <c r="A18" s="3" t="str">
        <f>IF(timeseries!A18&lt;&gt;"",timeseries!A18,"")</f>
        <v/>
      </c>
    </row>
    <row r="19" spans="1:1" x14ac:dyDescent="0.3">
      <c r="A19" s="3" t="str">
        <f>IF(timeseries!A19&lt;&gt;"",timeseries!A19,"")</f>
        <v/>
      </c>
    </row>
    <row r="20" spans="1:1" x14ac:dyDescent="0.3">
      <c r="A20" s="3" t="str">
        <f>IF(timeseries!A20&lt;&gt;"",timeseries!A20,"")</f>
        <v/>
      </c>
    </row>
    <row r="21" spans="1:1" x14ac:dyDescent="0.3">
      <c r="A21" s="3" t="str">
        <f>IF(timeseries!A21&lt;&gt;"",timeseries!A21,"")</f>
        <v/>
      </c>
    </row>
    <row r="22" spans="1:1" x14ac:dyDescent="0.3">
      <c r="A22" s="3" t="str">
        <f>IF(timeseries!A22&lt;&gt;"",timeseries!A22,"")</f>
        <v/>
      </c>
    </row>
    <row r="23" spans="1:1" x14ac:dyDescent="0.3">
      <c r="A23" s="3" t="str">
        <f>IF(timeseries!A23&lt;&gt;"",timeseries!A23,"")</f>
        <v/>
      </c>
    </row>
    <row r="24" spans="1:1" x14ac:dyDescent="0.3">
      <c r="A24" s="3" t="str">
        <f>IF(timeseries!A24&lt;&gt;"",timeseries!A24,"")</f>
        <v/>
      </c>
    </row>
    <row r="25" spans="1:1" x14ac:dyDescent="0.3">
      <c r="A25" s="3" t="str">
        <f>IF(timeseries!A25&lt;&gt;"",timeseries!A25,"")</f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timeseries</vt:lpstr>
      <vt:lpstr>setup</vt:lpstr>
      <vt:lpstr>nodes</vt:lpstr>
      <vt:lpstr>processes</vt:lpstr>
      <vt:lpstr>groups</vt:lpstr>
      <vt:lpstr>efficiencies</vt:lpstr>
      <vt:lpstr>process_topology</vt:lpstr>
      <vt:lpstr>node_history</vt:lpstr>
      <vt:lpstr>node_delay</vt:lpstr>
      <vt:lpstr>node_diffusion</vt:lpstr>
      <vt:lpstr>reserve_type</vt:lpstr>
      <vt:lpstr>cf</vt:lpstr>
      <vt:lpstr>inflow</vt:lpstr>
      <vt:lpstr>inflow_blocks</vt:lpstr>
      <vt:lpstr>flex_inflow</vt:lpstr>
      <vt:lpstr>price</vt:lpstr>
      <vt:lpstr>markets</vt:lpstr>
      <vt:lpstr>bid_slots</vt:lpstr>
      <vt:lpstr>reserve_realisation</vt:lpstr>
      <vt:lpstr>market_prices</vt:lpstr>
      <vt:lpstr>balance_prices</vt:lpstr>
      <vt:lpstr>reserve_activation_price</vt:lpstr>
      <vt:lpstr>risk</vt:lpstr>
      <vt:lpstr>scenarios</vt:lpstr>
      <vt:lpstr>fixed_ts</vt:lpstr>
      <vt:lpstr>eff_ts</vt:lpstr>
      <vt:lpstr>constraints</vt:lpstr>
      <vt:lpstr>gen_constraint</vt:lpstr>
      <vt:lpstr>cap_ts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Sundell Dennis</dc:creator>
  <cp:lastModifiedBy>Sundell Dennis</cp:lastModifiedBy>
  <dcterms:created xsi:type="dcterms:W3CDTF">2021-10-20T07:57:58Z</dcterms:created>
  <dcterms:modified xsi:type="dcterms:W3CDTF">2025-04-15T05:05:06Z</dcterms:modified>
</cp:coreProperties>
</file>