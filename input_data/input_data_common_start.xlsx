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2DA49811-00BD-47D8-9361-E7F090AA446C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reserve_realisation" sheetId="23" r:id="rId18"/>
    <sheet name="bid_slots" sheetId="28" r:id="rId19"/>
    <sheet name="market_prices" sheetId="8" r:id="rId20"/>
    <sheet name="balance_prices" sheetId="20" r:id="rId21"/>
    <sheet name="reserve_activation_price" sheetId="27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D3" i="3" l="1"/>
  <c r="F3" i="8"/>
  <c r="J3" i="8" s="1"/>
  <c r="G3" i="8"/>
  <c r="K3" i="8" s="1"/>
  <c r="H3" i="8"/>
  <c r="I3" i="8"/>
  <c r="M3" i="8" s="1"/>
  <c r="L3" i="8"/>
  <c r="F4" i="8"/>
  <c r="F4" i="20" s="1"/>
  <c r="G4" i="8"/>
  <c r="K4" i="8" s="1"/>
  <c r="H4" i="8"/>
  <c r="I4" i="8"/>
  <c r="J4" i="8"/>
  <c r="D4" i="20" s="1"/>
  <c r="L4" i="8"/>
  <c r="M4" i="8"/>
  <c r="G2" i="8"/>
  <c r="K2" i="8" s="1"/>
  <c r="H2" i="8"/>
  <c r="I2" i="8"/>
  <c r="J2" i="8"/>
  <c r="L2" i="8"/>
  <c r="M2" i="8"/>
  <c r="G2" i="20"/>
  <c r="F2" i="8"/>
  <c r="F2" i="20" s="1"/>
  <c r="D2" i="3"/>
  <c r="D4" i="3"/>
  <c r="E3" i="20"/>
  <c r="E4" i="20"/>
  <c r="E5" i="20"/>
  <c r="F5" i="20"/>
  <c r="G5" i="20"/>
  <c r="E6" i="20"/>
  <c r="F6" i="20"/>
  <c r="G6" i="20"/>
  <c r="E2" i="20"/>
  <c r="D5" i="20"/>
  <c r="D6" i="20"/>
  <c r="C3" i="20"/>
  <c r="C4" i="20"/>
  <c r="C5" i="20"/>
  <c r="C6" i="20"/>
  <c r="C2" i="20"/>
  <c r="B3" i="20"/>
  <c r="B4" i="20"/>
  <c r="B5" i="20"/>
  <c r="B6" i="20"/>
  <c r="B2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2" i="3"/>
  <c r="F2" i="3"/>
  <c r="G2" i="3"/>
  <c r="E3" i="3"/>
  <c r="F3" i="3"/>
  <c r="G3" i="3"/>
  <c r="E4" i="3"/>
  <c r="F4" i="3"/>
  <c r="G4" i="3"/>
  <c r="D5" i="3"/>
  <c r="E5" i="3"/>
  <c r="F5" i="3"/>
  <c r="G5" i="3"/>
  <c r="D6" i="3"/>
  <c r="E6" i="3"/>
  <c r="F6" i="3"/>
  <c r="G6" i="3"/>
  <c r="E6" i="7"/>
  <c r="D6" i="7"/>
  <c r="E5" i="7"/>
  <c r="D5" i="7"/>
  <c r="E4" i="7"/>
  <c r="D4" i="7"/>
  <c r="E3" i="7"/>
  <c r="D3" i="7"/>
  <c r="E2" i="7"/>
  <c r="D2" i="7"/>
  <c r="D1" i="10"/>
  <c r="E1" i="10" s="1"/>
  <c r="F1" i="10" s="1"/>
  <c r="G1" i="10" s="1"/>
  <c r="H1" i="10" s="1"/>
  <c r="I1" i="10" s="1"/>
  <c r="J1" i="10" s="1"/>
  <c r="K1" i="10" s="1"/>
  <c r="C1" i="10"/>
  <c r="D3" i="20" l="1"/>
  <c r="G3" i="20"/>
  <c r="G4" i="20"/>
  <c r="F3" i="20"/>
  <c r="D2" i="20"/>
</calcChain>
</file>

<file path=xl/sharedStrings.xml><?xml version="1.0" encoding="utf-8"?>
<sst xmlns="http://schemas.openxmlformats.org/spreadsheetml/2006/main" count="267" uniqueCount="168">
  <si>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</si>
  <si>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</si>
  <si>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</si>
  <si>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</si>
  <si>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</si>
  <si>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</si>
  <si>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</si>
  <si>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</si>
  <si>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</si>
  <si>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</si>
  <si>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</si>
  <si>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h2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</si>
  <si>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</si>
  <si>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</si>
  <si>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</si>
  <si>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</si>
  <si>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</si>
  <si>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</si>
  <si>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</si>
  <si>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</si>
  <si>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</si>
  <si>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</si>
  <si>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</si>
  <si>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</si>
  <si>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</si>
  <si>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p2x1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</si>
  <si>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</si>
  <si>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</si>
  <si>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</si>
  <si>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</si>
  <si>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</si>
  <si>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</si>
  <si>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</si>
  <si>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</si>
  <si>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</si>
  <si>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dh_tra</t>
  </si>
  <si>
    <t>reserve</t>
  </si>
  <si>
    <t>energy</t>
  </si>
  <si>
    <t>fcr_n</t>
  </si>
  <si>
    <t>fcr_up</t>
  </si>
  <si>
    <t>fcr_dn</t>
  </si>
  <si>
    <t>direction</t>
  </si>
  <si>
    <t>none</t>
  </si>
  <si>
    <t>up_down</t>
  </si>
  <si>
    <t>name</t>
  </si>
  <si>
    <t>propability</t>
  </si>
  <si>
    <t>s1</t>
  </si>
  <si>
    <t>s2</t>
  </si>
  <si>
    <t>s3</t>
  </si>
  <si>
    <t>dh2,s1</t>
  </si>
  <si>
    <t>h2,s1</t>
  </si>
  <si>
    <t>dh2,s2</t>
  </si>
  <si>
    <t>h2,s2</t>
  </si>
  <si>
    <t>dh2,s3</t>
  </si>
  <si>
    <t>h2,s3</t>
  </si>
  <si>
    <t>npe,s1</t>
  </si>
  <si>
    <t>fcr_n,s1</t>
  </si>
  <si>
    <t>fcr_up,s1</t>
  </si>
  <si>
    <t>fcr_dn,s1</t>
  </si>
  <si>
    <t>npe,s2</t>
  </si>
  <si>
    <t>fcr_n,s2</t>
  </si>
  <si>
    <t>fcr_up,s2</t>
  </si>
  <si>
    <t>fcr_dn,s2</t>
  </si>
  <si>
    <t>npe,s3</t>
  </si>
  <si>
    <t>fcr_n,s3</t>
  </si>
  <si>
    <t>fcr_up,s3</t>
  </si>
  <si>
    <t>fcr_dn,s3</t>
  </si>
  <si>
    <t>start_cost</t>
  </si>
  <si>
    <t>hp1,s1</t>
  </si>
  <si>
    <t>hp1,s2</t>
  </si>
  <si>
    <t>hp1,s3</t>
  </si>
  <si>
    <t>min_online</t>
  </si>
  <si>
    <t>min_offline</t>
  </si>
  <si>
    <t>ramp_factor</t>
  </si>
  <si>
    <t>fast</t>
  </si>
  <si>
    <t>slow</t>
  </si>
  <si>
    <t>reserve_type</t>
  </si>
  <si>
    <t>res_up</t>
  </si>
  <si>
    <t>res_down</t>
  </si>
  <si>
    <t>pv2</t>
  </si>
  <si>
    <t>pv2,s1</t>
  </si>
  <si>
    <t>pv2,s2</t>
  </si>
  <si>
    <t>pv2,s3</t>
  </si>
  <si>
    <t>is_cf_fix</t>
  </si>
  <si>
    <t>c1</t>
  </si>
  <si>
    <t>eq</t>
  </si>
  <si>
    <t>c1,ngchp,elc,s1</t>
  </si>
  <si>
    <t>c1,ngchp,elc,s2</t>
  </si>
  <si>
    <t>c1,ngchp,elc,s3</t>
  </si>
  <si>
    <t>c1,ngchp,dh,s1</t>
  </si>
  <si>
    <t>c1,ngchp,dh,s2</t>
  </si>
  <si>
    <t>c1,ngchp,dh,s3</t>
  </si>
  <si>
    <t>c1,s1</t>
  </si>
  <si>
    <t>c1,s2</t>
  </si>
  <si>
    <t>c1,s3</t>
  </si>
  <si>
    <t>initial_state</t>
  </si>
  <si>
    <t>hp1,elc,s1</t>
  </si>
  <si>
    <t>hp1,elc,s2</t>
  </si>
  <si>
    <t>hp1,elc,s3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</si>
  <si>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</si>
  <si>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</si>
  <si>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</si>
  <si>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</si>
  <si>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</si>
  <si>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</si>
  <si>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</si>
  <si>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</si>
  <si>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</si>
  <si>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pv1,s1,s2,s3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</si>
  <si>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</si>
  <si>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</si>
  <si>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</si>
  <si>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</si>
  <si>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</si>
  <si>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</si>
  <si>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</si>
  <si>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</si>
  <si>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</si>
  <si>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</si>
  <si>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</si>
  <si>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</si>
  <si>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</si>
  <si>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</si>
  <si>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</si>
  <si>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</si>
  <si>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</si>
  <si>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</si>
  <si>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</si>
  <si>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</si>
  <si>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</si>
  <si>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</si>
  <si>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</si>
  <si>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</si>
  <si>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</si>
  <si>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</si>
  <si>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</si>
  <si>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</si>
  <si>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</si>
  <si>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</si>
  <si>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</si>
  <si>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</si>
  <si>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</si>
  <si>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</si>
  <si>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</si>
  <si>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</si>
  <si>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</si>
  <si>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ALL</t>
  </si>
  <si>
    <t>b1,dh2</t>
  </si>
  <si>
    <t>b1,s1</t>
  </si>
  <si>
    <t>b1,s2</t>
  </si>
  <si>
    <t>b1,s3</t>
  </si>
  <si>
    <t>b2,dh2</t>
  </si>
  <si>
    <t>b2,s1</t>
  </si>
  <si>
    <t>b2,s2</t>
  </si>
  <si>
    <t>b2,s3</t>
  </si>
  <si>
    <t>node_dummy_variable_cost</t>
  </si>
  <si>
    <t>ramp_dummy_variable_cost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</si>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</sst>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A5" sqref="A5:A6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30</v>
      </c>
    </row>
    <row r="2" spans="1:1" x14ac:dyDescent="0.3">
      <c r="A2" s="4">
        <v>44671</v>
      </c>
    </row>
    <row r="3" spans="1:1" x14ac:dyDescent="0.3">
      <c r="A3" s="4">
        <v>44671.041666666664</v>
      </c>
    </row>
    <row r="4" spans="1:1" x14ac:dyDescent="0.3">
      <c r="A4" s="4">
        <v>44671.08333321759</v>
      </c>
    </row>
    <row r="5" spans="1:1" x14ac:dyDescent="0.3">
      <c r="A5" s="4">
        <v>44671.124999826388</v>
      </c>
    </row>
    <row r="6" spans="1:1" x14ac:dyDescent="0.3">
      <c r="A6" s="4">
        <v>44671.166666435187</v>
      </c>
    </row>
    <row r="7" spans="1:1" x14ac:dyDescent="0.3">
      <c r="A7" s="4"/>
    </row>
    <row r="8" spans="1:1" x14ac:dyDescent="0.3">
      <c r="A8" s="4"/>
    </row>
    <row r="9" spans="1:1" x14ac:dyDescent="0.3">
      <c r="A9" s="4"/>
    </row>
    <row r="10" spans="1:1" x14ac:dyDescent="0.3">
      <c r="A10" s="4"/>
    </row>
    <row r="11" spans="1:1" x14ac:dyDescent="0.3">
      <c r="A11" s="4"/>
    </row>
    <row r="12" spans="1:1" x14ac:dyDescent="0.3">
      <c r="A12" s="4"/>
    </row>
    <row r="13" spans="1:1" x14ac:dyDescent="0.3">
      <c r="A13" s="4"/>
    </row>
    <row r="14" spans="1:1" x14ac:dyDescent="0.3">
      <c r="A14" s="4"/>
    </row>
    <row r="15" spans="1:1" x14ac:dyDescent="0.3">
      <c r="A15" s="4"/>
    </row>
    <row r="16" spans="1:1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2" t="s">
        <v>100</v>
      </c>
      <c r="B1" s="2" t="s">
        <v>101</v>
      </c>
    </row>
    <row r="2" spans="1:2" x14ac:dyDescent="0.3">
      <c r="A2" t="s">
        <v>141</v>
      </c>
      <c r="B2">
        <v>1</v>
      </c>
    </row>
    <row r="3" spans="1:2" x14ac:dyDescent="0.3">
      <c r="A3" t="s">
        <v>137</v>
      </c>
      <c r="B3">
        <v>1</v>
      </c>
    </row>
    <row r="4" spans="1:2" x14ac:dyDescent="0.3">
      <c r="A4" t="s">
        <v>138</v>
      </c>
      <c r="B4">
        <v>1</v>
      </c>
    </row>
    <row r="5" spans="1:2" x14ac:dyDescent="0.3">
      <c r="A5" t="s">
        <v>139</v>
      </c>
      <c r="B5">
        <v>1</v>
      </c>
    </row>
    <row r="6" spans="1:2" x14ac:dyDescent="0.3">
      <c r="A6" t="s">
        <v>140</v>
      </c>
      <c r="B6">
        <v>1</v>
      </c>
    </row>
    <row r="7" spans="1:2" x14ac:dyDescent="0.3">
      <c r="A7" t="s">
        <v>155</v>
      </c>
      <c r="B7">
        <v>10000</v>
      </c>
    </row>
    <row r="8" spans="1:2" x14ac:dyDescent="0.3">
      <c r="A8" t="s">
        <v>156</v>
      </c>
      <c r="B8">
        <v>10000</v>
      </c>
    </row>
    <row r="9" spans="1:2" x14ac:dyDescent="0.3">
      <c r="A9" t="s">
        <v>161</v>
      </c>
      <c r="B9">
        <v>3</v>
      </c>
    </row>
    <row r="10" spans="1:2" x14ac:dyDescent="0.3">
      <c r="A10" t="s">
        <v>162</v>
      </c>
      <c r="B10">
        <v>0</v>
      </c>
    </row>
    <row r="11" spans="1:2" x14ac:dyDescent="0.3">
      <c r="A11" t="s">
        <v>142</v>
      </c>
      <c r="B11" t="s">
        <v>146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8"/>
  <sheetViews>
    <sheetView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6</v>
      </c>
      <c r="F1" s="2" t="s">
        <v>10</v>
      </c>
      <c r="G1" s="2" t="s">
        <v>3</v>
      </c>
      <c r="H1" s="2" t="s">
        <v>131</v>
      </c>
      <c r="I1" s="2" t="s">
        <v>4</v>
      </c>
      <c r="J1" s="2" t="s">
        <v>5</v>
      </c>
      <c r="K1" s="2" t="s">
        <v>95</v>
      </c>
      <c r="L1" s="2" t="s">
        <v>105</v>
      </c>
      <c r="M1" s="2" t="s">
        <v>144</v>
      </c>
      <c r="N1" s="2" t="s">
        <v>132</v>
      </c>
      <c r="O1" s="2" t="s">
        <v>158</v>
      </c>
      <c r="P1" s="2" t="s">
        <v>109</v>
      </c>
    </row>
    <row r="2" spans="1:16" x14ac:dyDescent="0.3">
      <c r="A2" t="s">
        <v>7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0</v>
      </c>
    </row>
    <row r="3" spans="1:16" x14ac:dyDescent="0.3">
      <c r="A3" t="s">
        <v>8</v>
      </c>
      <c r="B3" s="3">
        <v>0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</row>
    <row r="4" spans="1:16" x14ac:dyDescent="0.3">
      <c r="A4" t="s">
        <v>9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10</v>
      </c>
      <c r="H4" s="3">
        <v>0</v>
      </c>
      <c r="I4" s="3">
        <v>3</v>
      </c>
      <c r="J4" s="3">
        <v>3</v>
      </c>
      <c r="K4" s="3">
        <v>10</v>
      </c>
      <c r="L4">
        <v>1E-3</v>
      </c>
      <c r="M4" s="3">
        <v>0</v>
      </c>
      <c r="N4" s="3">
        <v>0</v>
      </c>
      <c r="O4" s="3">
        <v>1</v>
      </c>
      <c r="P4" s="3">
        <v>0</v>
      </c>
    </row>
    <row r="5" spans="1:16" x14ac:dyDescent="0.3">
      <c r="A5" t="s">
        <v>11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4</v>
      </c>
      <c r="H5" s="3">
        <v>0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0</v>
      </c>
    </row>
    <row r="6" spans="1:16" x14ac:dyDescent="0.3">
      <c r="A6" t="s">
        <v>34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</row>
    <row r="7" spans="1:16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6" x14ac:dyDescent="0.3">
      <c r="M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8"/>
  <sheetViews>
    <sheetView workbookViewId="0">
      <selection activeCell="P3" sqref="P3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13</v>
      </c>
      <c r="B1" s="2" t="s">
        <v>14</v>
      </c>
      <c r="C1" s="2" t="s">
        <v>83</v>
      </c>
      <c r="D1" s="2" t="s">
        <v>15</v>
      </c>
      <c r="E1" s="2" t="s">
        <v>32</v>
      </c>
      <c r="F1" s="2" t="s">
        <v>18</v>
      </c>
      <c r="G1" s="2" t="s">
        <v>17</v>
      </c>
      <c r="H1" s="2" t="s">
        <v>20</v>
      </c>
      <c r="I1" s="2" t="s">
        <v>19</v>
      </c>
      <c r="J1" s="2" t="s">
        <v>67</v>
      </c>
      <c r="K1" s="2" t="s">
        <v>71</v>
      </c>
      <c r="L1" s="2" t="s">
        <v>72</v>
      </c>
      <c r="M1" s="2" t="s">
        <v>116</v>
      </c>
      <c r="N1" s="2" t="s">
        <v>117</v>
      </c>
      <c r="O1" s="2" t="s">
        <v>95</v>
      </c>
      <c r="P1" s="2" t="s">
        <v>143</v>
      </c>
      <c r="Q1" s="2" t="s">
        <v>99</v>
      </c>
    </row>
    <row r="2" spans="1:17" x14ac:dyDescent="0.3">
      <c r="A2" t="s">
        <v>23</v>
      </c>
      <c r="B2" s="3">
        <v>0</v>
      </c>
      <c r="C2" s="3">
        <v>0</v>
      </c>
      <c r="D2" s="3">
        <v>1</v>
      </c>
      <c r="E2" s="3">
        <v>1</v>
      </c>
      <c r="F2" s="3">
        <v>1</v>
      </c>
      <c r="G2" s="3">
        <v>0.9</v>
      </c>
      <c r="H2" s="3">
        <v>0.3</v>
      </c>
      <c r="I2" s="3">
        <v>1</v>
      </c>
      <c r="J2" s="3">
        <v>0</v>
      </c>
      <c r="K2" s="3">
        <v>4</v>
      </c>
      <c r="L2" s="3">
        <v>3</v>
      </c>
      <c r="M2" s="3">
        <v>0</v>
      </c>
      <c r="N2" s="3">
        <v>0</v>
      </c>
      <c r="O2" s="3">
        <v>1</v>
      </c>
      <c r="P2" s="3">
        <v>1</v>
      </c>
      <c r="Q2" s="3">
        <v>0</v>
      </c>
    </row>
    <row r="3" spans="1:17" x14ac:dyDescent="0.3">
      <c r="A3" t="s">
        <v>24</v>
      </c>
      <c r="B3" s="3">
        <v>0</v>
      </c>
      <c r="C3" s="3">
        <v>0</v>
      </c>
      <c r="D3" s="3">
        <v>0</v>
      </c>
      <c r="E3" s="3">
        <v>1</v>
      </c>
      <c r="F3" s="3">
        <v>1</v>
      </c>
      <c r="G3" s="3">
        <v>3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x14ac:dyDescent="0.3">
      <c r="A4" t="s">
        <v>25</v>
      </c>
      <c r="B4" s="3">
        <v>0</v>
      </c>
      <c r="C4" s="3">
        <v>0</v>
      </c>
      <c r="D4" s="3">
        <v>0</v>
      </c>
      <c r="E4" s="3">
        <v>1</v>
      </c>
      <c r="F4" s="3">
        <v>1</v>
      </c>
      <c r="G4" s="3">
        <v>0.7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x14ac:dyDescent="0.3">
      <c r="A5" t="s">
        <v>26</v>
      </c>
      <c r="B5" s="3">
        <v>1</v>
      </c>
      <c r="C5" s="3">
        <v>1</v>
      </c>
      <c r="D5" s="3">
        <v>0</v>
      </c>
      <c r="E5" s="3">
        <v>0</v>
      </c>
      <c r="F5" s="3">
        <v>1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x14ac:dyDescent="0.3">
      <c r="A6" t="s">
        <v>79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3">
      <c r="A7" t="s">
        <v>35</v>
      </c>
      <c r="B7" s="3">
        <v>0</v>
      </c>
      <c r="C7" s="3">
        <v>0</v>
      </c>
      <c r="D7" s="3">
        <v>0</v>
      </c>
      <c r="E7" s="3">
        <v>0</v>
      </c>
      <c r="F7" s="3">
        <v>2</v>
      </c>
      <c r="G7" s="3">
        <v>0.99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160</v>
      </c>
      <c r="B1" s="2" t="s">
        <v>118</v>
      </c>
      <c r="C1" s="2" t="s">
        <v>119</v>
      </c>
    </row>
    <row r="2" spans="1:3" x14ac:dyDescent="0.3">
      <c r="A2" t="s">
        <v>13</v>
      </c>
      <c r="B2" t="s">
        <v>23</v>
      </c>
      <c r="C2" t="s">
        <v>127</v>
      </c>
    </row>
    <row r="3" spans="1:3" x14ac:dyDescent="0.3">
      <c r="A3" t="s">
        <v>13</v>
      </c>
      <c r="B3" t="s">
        <v>24</v>
      </c>
      <c r="C3" t="s">
        <v>127</v>
      </c>
    </row>
    <row r="4" spans="1:3" x14ac:dyDescent="0.3">
      <c r="A4" t="s">
        <v>13</v>
      </c>
      <c r="B4" t="s">
        <v>25</v>
      </c>
      <c r="C4" t="s">
        <v>127</v>
      </c>
    </row>
    <row r="5" spans="1:3" x14ac:dyDescent="0.3">
      <c r="A5" t="s">
        <v>0</v>
      </c>
      <c r="B5" t="s">
        <v>8</v>
      </c>
      <c r="C5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A2" sqref="A2:XFD3"/>
    </sheetView>
  </sheetViews>
  <sheetFormatPr defaultRowHeight="14.4" x14ac:dyDescent="0.3"/>
  <sheetData>
    <row r="1" spans="1:11" s="2" customFormat="1" x14ac:dyDescent="0.3">
      <c r="A1" s="2" t="s">
        <v>13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2"/>
  <sheetViews>
    <sheetView workbookViewId="0">
      <selection activeCell="F2" sqref="F2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13</v>
      </c>
      <c r="B1" s="2" t="s">
        <v>28</v>
      </c>
      <c r="C1" s="2" t="s">
        <v>0</v>
      </c>
      <c r="D1" s="2" t="s">
        <v>33</v>
      </c>
      <c r="E1" s="2" t="s">
        <v>16</v>
      </c>
      <c r="F1" s="2" t="s">
        <v>157</v>
      </c>
      <c r="G1" s="2" t="s">
        <v>22</v>
      </c>
      <c r="H1" s="2" t="s">
        <v>21</v>
      </c>
      <c r="I1" s="2" t="s">
        <v>136</v>
      </c>
      <c r="J1" s="2" t="s">
        <v>145</v>
      </c>
    </row>
    <row r="2" spans="1:10" x14ac:dyDescent="0.3">
      <c r="A2" t="s">
        <v>23</v>
      </c>
      <c r="B2" t="s">
        <v>27</v>
      </c>
      <c r="C2" t="s">
        <v>7</v>
      </c>
      <c r="D2">
        <v>1</v>
      </c>
      <c r="E2">
        <v>20</v>
      </c>
      <c r="F2">
        <v>3</v>
      </c>
      <c r="G2">
        <v>0.5</v>
      </c>
      <c r="H2">
        <v>0.5</v>
      </c>
      <c r="I2">
        <v>0.6</v>
      </c>
      <c r="J2">
        <v>0.6</v>
      </c>
    </row>
    <row r="3" spans="1:10" x14ac:dyDescent="0.3">
      <c r="A3" t="s">
        <v>23</v>
      </c>
      <c r="B3" t="s">
        <v>29</v>
      </c>
      <c r="C3" t="s">
        <v>9</v>
      </c>
      <c r="D3">
        <v>1</v>
      </c>
      <c r="E3">
        <v>10</v>
      </c>
      <c r="F3">
        <v>0</v>
      </c>
      <c r="G3">
        <v>0.5</v>
      </c>
      <c r="H3">
        <v>0.5</v>
      </c>
      <c r="I3">
        <v>0.6</v>
      </c>
      <c r="J3">
        <v>0.6</v>
      </c>
    </row>
    <row r="4" spans="1:10" x14ac:dyDescent="0.3">
      <c r="A4" t="s">
        <v>23</v>
      </c>
      <c r="B4" t="s">
        <v>29</v>
      </c>
      <c r="C4" t="s">
        <v>8</v>
      </c>
      <c r="D4">
        <v>1</v>
      </c>
      <c r="E4">
        <v>8</v>
      </c>
      <c r="F4">
        <v>0</v>
      </c>
      <c r="G4">
        <v>0.5</v>
      </c>
      <c r="H4">
        <v>0.5</v>
      </c>
      <c r="I4">
        <v>0.6</v>
      </c>
      <c r="J4">
        <v>0.6</v>
      </c>
    </row>
    <row r="5" spans="1:10" x14ac:dyDescent="0.3">
      <c r="A5" t="s">
        <v>24</v>
      </c>
      <c r="B5" t="s">
        <v>27</v>
      </c>
      <c r="C5" t="s">
        <v>8</v>
      </c>
      <c r="D5">
        <v>1</v>
      </c>
      <c r="E5">
        <v>5</v>
      </c>
      <c r="F5">
        <v>15</v>
      </c>
      <c r="G5">
        <v>0.5</v>
      </c>
      <c r="H5">
        <v>0.5</v>
      </c>
      <c r="I5">
        <v>0.6</v>
      </c>
      <c r="J5">
        <v>0.6</v>
      </c>
    </row>
    <row r="6" spans="1:10" x14ac:dyDescent="0.3">
      <c r="A6" t="s">
        <v>24</v>
      </c>
      <c r="B6" t="s">
        <v>29</v>
      </c>
      <c r="C6" t="s">
        <v>9</v>
      </c>
      <c r="D6">
        <v>1</v>
      </c>
      <c r="E6">
        <v>15</v>
      </c>
      <c r="F6">
        <v>0.5</v>
      </c>
      <c r="G6">
        <v>0.5</v>
      </c>
      <c r="H6">
        <v>0.5</v>
      </c>
      <c r="I6">
        <v>0.6</v>
      </c>
      <c r="J6">
        <v>0.6</v>
      </c>
    </row>
    <row r="7" spans="1:10" x14ac:dyDescent="0.3">
      <c r="A7" t="s">
        <v>25</v>
      </c>
      <c r="B7" t="s">
        <v>27</v>
      </c>
      <c r="C7" t="s">
        <v>8</v>
      </c>
      <c r="D7">
        <v>1</v>
      </c>
      <c r="E7">
        <v>10</v>
      </c>
      <c r="F7">
        <v>15</v>
      </c>
      <c r="G7">
        <v>1</v>
      </c>
      <c r="H7">
        <v>1</v>
      </c>
      <c r="I7">
        <v>0.6</v>
      </c>
      <c r="J7">
        <v>0.6</v>
      </c>
    </row>
    <row r="8" spans="1:10" x14ac:dyDescent="0.3">
      <c r="A8" t="s">
        <v>25</v>
      </c>
      <c r="B8" t="s">
        <v>29</v>
      </c>
      <c r="C8" t="s">
        <v>11</v>
      </c>
      <c r="D8">
        <v>1</v>
      </c>
      <c r="E8">
        <v>7</v>
      </c>
      <c r="F8">
        <v>1</v>
      </c>
      <c r="G8">
        <v>1</v>
      </c>
      <c r="H8">
        <v>1</v>
      </c>
      <c r="I8">
        <v>0.6</v>
      </c>
      <c r="J8">
        <v>0.6</v>
      </c>
    </row>
    <row r="9" spans="1:10" x14ac:dyDescent="0.3">
      <c r="A9" t="s">
        <v>26</v>
      </c>
      <c r="B9" t="s">
        <v>29</v>
      </c>
      <c r="C9" t="s">
        <v>8</v>
      </c>
      <c r="D9">
        <v>1</v>
      </c>
      <c r="E9">
        <v>5</v>
      </c>
      <c r="F9">
        <v>0.5</v>
      </c>
      <c r="G9">
        <v>1</v>
      </c>
      <c r="H9">
        <v>1</v>
      </c>
      <c r="I9">
        <v>0.6</v>
      </c>
      <c r="J9">
        <v>0.6</v>
      </c>
    </row>
    <row r="10" spans="1:10" x14ac:dyDescent="0.3">
      <c r="A10" t="s">
        <v>79</v>
      </c>
      <c r="B10" t="s">
        <v>29</v>
      </c>
      <c r="C10" t="s">
        <v>8</v>
      </c>
      <c r="D10">
        <v>1</v>
      </c>
      <c r="E10">
        <v>5</v>
      </c>
      <c r="F10">
        <v>0.5</v>
      </c>
      <c r="G10">
        <v>1</v>
      </c>
      <c r="H10">
        <v>1</v>
      </c>
      <c r="I10">
        <v>0.6</v>
      </c>
      <c r="J10">
        <v>0.6</v>
      </c>
    </row>
    <row r="11" spans="1:10" x14ac:dyDescent="0.3">
      <c r="A11" t="s">
        <v>35</v>
      </c>
      <c r="B11" t="s">
        <v>27</v>
      </c>
      <c r="C11" t="s">
        <v>9</v>
      </c>
      <c r="D11">
        <v>1</v>
      </c>
      <c r="E11">
        <v>20</v>
      </c>
      <c r="F11">
        <v>0</v>
      </c>
      <c r="G11">
        <v>1</v>
      </c>
      <c r="H11">
        <v>1</v>
      </c>
      <c r="I11">
        <v>0.6</v>
      </c>
      <c r="J11">
        <v>0.6</v>
      </c>
    </row>
    <row r="12" spans="1:10" x14ac:dyDescent="0.3">
      <c r="A12" t="s">
        <v>35</v>
      </c>
      <c r="B12" t="s">
        <v>29</v>
      </c>
      <c r="C12" t="s">
        <v>34</v>
      </c>
      <c r="D12">
        <v>1</v>
      </c>
      <c r="E12">
        <v>20</v>
      </c>
      <c r="F12">
        <v>0</v>
      </c>
      <c r="G12">
        <v>1</v>
      </c>
      <c r="H12">
        <v>1</v>
      </c>
      <c r="I12">
        <v>0.6</v>
      </c>
      <c r="J12">
        <v>0.6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2" sqref="B2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30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44671.124999826388</v>
      </c>
    </row>
    <row r="6" spans="1:1" x14ac:dyDescent="0.3">
      <c r="A6" s="4">
        <f>IF(timeseries!A6&lt;&gt;"",timeseries!A6,"")</f>
        <v>44671.166666435187</v>
      </c>
    </row>
    <row r="7" spans="1:1" x14ac:dyDescent="0.3">
      <c r="A7" s="4" t="str">
        <f>IF(timeseries!A7&lt;&gt;"",timeseries!A7,"")</f>
        <v/>
      </c>
    </row>
    <row r="8" spans="1:1" x14ac:dyDescent="0.3">
      <c r="A8" s="4" t="str">
        <f>IF(timeseries!A8&lt;&gt;"",timeseries!A8,"")</f>
        <v/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1"/>
  <sheetViews>
    <sheetView workbookViewId="0">
      <selection activeCell="A2" sqref="A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129</v>
      </c>
      <c r="B1" s="2" t="s">
        <v>130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F10" sqref="F10"/>
    </sheetView>
  </sheetViews>
  <sheetFormatPr defaultRowHeight="14.4" x14ac:dyDescent="0.3"/>
  <cols>
    <col min="1" max="1" width="19.33203125" style="4" customWidth="1"/>
  </cols>
  <sheetData>
    <row r="1" spans="1:3" x14ac:dyDescent="0.3">
      <c r="A1" s="2" t="s">
        <v>30</v>
      </c>
      <c r="B1" s="2"/>
      <c r="C1" s="2"/>
    </row>
    <row r="2" spans="1:3" x14ac:dyDescent="0.3">
      <c r="A2" s="4">
        <f>IF(timeseries!A2&lt;&gt;"",timeseries!A2,"")</f>
        <v>44671</v>
      </c>
    </row>
    <row r="3" spans="1:3" x14ac:dyDescent="0.3">
      <c r="A3" s="4">
        <f>IF(timeseries!A3&lt;&gt;"",timeseries!A3,"")</f>
        <v>44671.041666666664</v>
      </c>
    </row>
    <row r="4" spans="1:3" x14ac:dyDescent="0.3">
      <c r="A4" s="4">
        <f>IF(timeseries!A4&lt;&gt;"",timeseries!A4,"")</f>
        <v>44671.08333321759</v>
      </c>
    </row>
    <row r="5" spans="1:3" x14ac:dyDescent="0.3">
      <c r="A5" s="4">
        <f>IF(timeseries!A5&lt;&gt;"",timeseries!A5,"")</f>
        <v>44671.124999826388</v>
      </c>
    </row>
    <row r="6" spans="1:3" x14ac:dyDescent="0.3">
      <c r="A6" s="4">
        <f>IF(timeseries!A6&lt;&gt;"",timeseries!A6,"")</f>
        <v>44671.166666435187</v>
      </c>
    </row>
    <row r="7" spans="1:3" x14ac:dyDescent="0.3">
      <c r="A7" s="4" t="str">
        <f>IF(timeseries!A7&lt;&gt;"",timeseries!A7,"")</f>
        <v/>
      </c>
    </row>
    <row r="8" spans="1:3" x14ac:dyDescent="0.3">
      <c r="A8" s="4" t="str">
        <f>IF(timeseries!A8&lt;&gt;"",timeseries!A8,"")</f>
        <v/>
      </c>
    </row>
    <row r="9" spans="1:3" x14ac:dyDescent="0.3">
      <c r="A9" s="4" t="str">
        <f>IF(timeseries!A9&lt;&gt;"",timeseries!A9,"")</f>
        <v/>
      </c>
    </row>
    <row r="10" spans="1:3" x14ac:dyDescent="0.3">
      <c r="A10" s="4" t="str">
        <f>IF(timeseries!A10&lt;&gt;"",timeseries!A10,"")</f>
        <v/>
      </c>
    </row>
    <row r="11" spans="1:3" x14ac:dyDescent="0.3">
      <c r="A11" s="4" t="str">
        <f>IF(timeseries!A11&lt;&gt;"",timeseries!A11,"")</f>
        <v/>
      </c>
    </row>
    <row r="12" spans="1:3" x14ac:dyDescent="0.3">
      <c r="A12" s="4" t="str">
        <f>IF(timeseries!A12&lt;&gt;"",timeseries!A12,"")</f>
        <v/>
      </c>
    </row>
    <row r="13" spans="1:3" x14ac:dyDescent="0.3">
      <c r="A13" s="4" t="str">
        <f>IF(timeseries!A13&lt;&gt;"",timeseries!A13,"")</f>
        <v/>
      </c>
    </row>
    <row r="14" spans="1:3" x14ac:dyDescent="0.3">
      <c r="A14" s="4" t="str">
        <f>IF(timeseries!A14&lt;&gt;"",timeseries!A14,"")</f>
        <v/>
      </c>
    </row>
    <row r="15" spans="1:3" x14ac:dyDescent="0.3">
      <c r="A15" s="4" t="str">
        <f>IF(timeseries!A15&lt;&gt;"",timeseries!A15,"")</f>
        <v/>
      </c>
    </row>
    <row r="16" spans="1: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3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76</v>
      </c>
      <c r="B1" s="2" t="s">
        <v>73</v>
      </c>
    </row>
    <row r="2" spans="1:2" x14ac:dyDescent="0.3">
      <c r="A2" t="s">
        <v>74</v>
      </c>
      <c r="B2">
        <v>4</v>
      </c>
    </row>
    <row r="3" spans="1:2" x14ac:dyDescent="0.3">
      <c r="A3" t="s">
        <v>75</v>
      </c>
      <c r="B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N26" sqref="N26"/>
    </sheetView>
  </sheetViews>
  <sheetFormatPr defaultRowHeight="14.4" x14ac:dyDescent="0.3"/>
  <cols>
    <col min="1" max="1" width="19.33203125" style="4" customWidth="1"/>
    <col min="6" max="6" width="23.109375" customWidth="1"/>
    <col min="12" max="12" width="12.109375" bestFit="1" customWidth="1"/>
  </cols>
  <sheetData>
    <row r="1" spans="1:12" s="2" customFormat="1" x14ac:dyDescent="0.3">
      <c r="A1" s="2" t="s">
        <v>30</v>
      </c>
      <c r="B1" s="2" t="s">
        <v>108</v>
      </c>
      <c r="C1" s="2" t="s">
        <v>80</v>
      </c>
      <c r="D1" s="2" t="s">
        <v>81</v>
      </c>
      <c r="E1" s="2" t="s">
        <v>82</v>
      </c>
      <c r="F1"/>
    </row>
    <row r="2" spans="1:12" x14ac:dyDescent="0.3">
      <c r="A2" s="4">
        <f>IF(timeseries!A2&lt;&gt;"",timeseries!A2,"")</f>
        <v>44671</v>
      </c>
      <c r="B2">
        <v>0.3</v>
      </c>
      <c r="C2">
        <v>0.2</v>
      </c>
      <c r="D2">
        <f>1*C2</f>
        <v>0.2</v>
      </c>
      <c r="E2">
        <f>1*C2</f>
        <v>0.2</v>
      </c>
      <c r="F2" s="4"/>
      <c r="L2" s="4"/>
    </row>
    <row r="3" spans="1:12" x14ac:dyDescent="0.3">
      <c r="A3" s="4">
        <f>IF(timeseries!A3&lt;&gt;"",timeseries!A3,"")</f>
        <v>44671.041666666664</v>
      </c>
      <c r="B3">
        <v>0.3</v>
      </c>
      <c r="C3">
        <v>0.4</v>
      </c>
      <c r="D3">
        <f t="shared" ref="D3:D6" si="0">1*C3</f>
        <v>0.4</v>
      </c>
      <c r="E3">
        <f t="shared" ref="E3:E6" si="1">1*C3</f>
        <v>0.4</v>
      </c>
    </row>
    <row r="4" spans="1:12" x14ac:dyDescent="0.3">
      <c r="A4" s="4">
        <f>IF(timeseries!A4&lt;&gt;"",timeseries!A4,"")</f>
        <v>44671.08333321759</v>
      </c>
      <c r="B4">
        <v>0.5</v>
      </c>
      <c r="C4">
        <v>0.3</v>
      </c>
      <c r="D4">
        <f t="shared" si="0"/>
        <v>0.3</v>
      </c>
      <c r="E4">
        <f t="shared" si="1"/>
        <v>0.3</v>
      </c>
    </row>
    <row r="5" spans="1:12" x14ac:dyDescent="0.3">
      <c r="A5" s="4">
        <f>IF(timeseries!A5&lt;&gt;"",timeseries!A5,"")</f>
        <v>44671.124999826388</v>
      </c>
      <c r="B5">
        <v>0</v>
      </c>
      <c r="C5">
        <v>0</v>
      </c>
      <c r="D5">
        <f t="shared" si="0"/>
        <v>0</v>
      </c>
      <c r="E5">
        <f t="shared" si="1"/>
        <v>0</v>
      </c>
    </row>
    <row r="6" spans="1:12" x14ac:dyDescent="0.3">
      <c r="A6" s="4">
        <f>IF(timeseries!A6&lt;&gt;"",timeseries!A6,"")</f>
        <v>44671.166666435187</v>
      </c>
      <c r="B6">
        <v>0.8</v>
      </c>
      <c r="C6">
        <v>0.8</v>
      </c>
      <c r="D6">
        <f t="shared" si="0"/>
        <v>0.8</v>
      </c>
      <c r="E6">
        <f t="shared" si="1"/>
        <v>0.8</v>
      </c>
    </row>
    <row r="7" spans="1:12" x14ac:dyDescent="0.3">
      <c r="A7" s="4" t="str">
        <f>IF(timeseries!A7&lt;&gt;"",timeseries!A7,"")</f>
        <v/>
      </c>
    </row>
    <row r="8" spans="1:12" x14ac:dyDescent="0.3">
      <c r="A8" s="4" t="str">
        <f>IF(timeseries!A8&lt;&gt;"",timeseries!A8,"")</f>
        <v/>
      </c>
    </row>
    <row r="9" spans="1:12" x14ac:dyDescent="0.3">
      <c r="A9" s="4" t="str">
        <f>IF(timeseries!A9&lt;&gt;"",timeseries!A9,"")</f>
        <v/>
      </c>
    </row>
    <row r="10" spans="1:12" x14ac:dyDescent="0.3">
      <c r="A10" s="4" t="str">
        <f>IF(timeseries!A10&lt;&gt;"",timeseries!A10,"")</f>
        <v/>
      </c>
    </row>
    <row r="11" spans="1:12" x14ac:dyDescent="0.3">
      <c r="A11" s="4" t="str">
        <f>IF(timeseries!A11&lt;&gt;"",timeseries!A11,"")</f>
        <v/>
      </c>
    </row>
    <row r="12" spans="1:12" x14ac:dyDescent="0.3">
      <c r="A12" s="4" t="str">
        <f>IF(timeseries!A12&lt;&gt;"",timeseries!A12,"")</f>
        <v/>
      </c>
    </row>
    <row r="13" spans="1:12" x14ac:dyDescent="0.3">
      <c r="A13" s="4" t="str">
        <f>IF(timeseries!A13&lt;&gt;"",timeseries!A13,"")</f>
        <v/>
      </c>
    </row>
    <row r="14" spans="1:12" x14ac:dyDescent="0.3">
      <c r="A14" s="4" t="str">
        <f>IF(timeseries!A14&lt;&gt;"",timeseries!A14,"")</f>
        <v/>
      </c>
    </row>
    <row r="15" spans="1:12" x14ac:dyDescent="0.3">
      <c r="A15" s="4" t="str">
        <f>IF(timeseries!A15&lt;&gt;"",timeseries!A15,"")</f>
        <v/>
      </c>
    </row>
    <row r="16" spans="1:1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A9" sqref="A9"/>
    </sheetView>
  </sheetViews>
  <sheetFormatPr defaultRowHeight="14.4" x14ac:dyDescent="0.3"/>
  <cols>
    <col min="1" max="1" width="19.33203125" style="4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30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7" x14ac:dyDescent="0.3">
      <c r="A2" s="4">
        <f>IF(timeseries!A2&lt;&gt;"",timeseries!A2,"")</f>
        <v>44671</v>
      </c>
      <c r="B2">
        <v>-5</v>
      </c>
      <c r="C2">
        <v>-5</v>
      </c>
      <c r="D2">
        <f>1*B2</f>
        <v>-5</v>
      </c>
      <c r="E2">
        <f>1*C2</f>
        <v>-5</v>
      </c>
      <c r="F2">
        <f>1*B2</f>
        <v>-5</v>
      </c>
      <c r="G2">
        <f>1*C2</f>
        <v>-5</v>
      </c>
    </row>
    <row r="3" spans="1:7" x14ac:dyDescent="0.3">
      <c r="A3" s="4">
        <f>IF(timeseries!A3&lt;&gt;"",timeseries!A3,"")</f>
        <v>44671.041666666664</v>
      </c>
      <c r="B3">
        <v>-5</v>
      </c>
      <c r="C3">
        <v>-5</v>
      </c>
      <c r="D3">
        <f>1*B3</f>
        <v>-5</v>
      </c>
      <c r="E3">
        <f t="shared" ref="E3:E6" si="0">1*C3</f>
        <v>-5</v>
      </c>
      <c r="F3">
        <f t="shared" ref="F3:F6" si="1">1*B3</f>
        <v>-5</v>
      </c>
      <c r="G3">
        <f t="shared" ref="G3:G6" si="2">1*C3</f>
        <v>-5</v>
      </c>
    </row>
    <row r="4" spans="1:7" x14ac:dyDescent="0.3">
      <c r="A4" s="4">
        <f>IF(timeseries!A4&lt;&gt;"",timeseries!A4,"")</f>
        <v>44671.08333321759</v>
      </c>
      <c r="B4">
        <v>-4</v>
      </c>
      <c r="C4">
        <v>-6</v>
      </c>
      <c r="D4">
        <f>1*B4</f>
        <v>-4</v>
      </c>
      <c r="E4">
        <f t="shared" si="0"/>
        <v>-6</v>
      </c>
      <c r="F4">
        <f t="shared" si="1"/>
        <v>-4</v>
      </c>
      <c r="G4">
        <f t="shared" si="2"/>
        <v>-6</v>
      </c>
    </row>
    <row r="5" spans="1:7" x14ac:dyDescent="0.3">
      <c r="A5" s="4">
        <f>IF(timeseries!A5&lt;&gt;"",timeseries!A5,"")</f>
        <v>44671.124999826388</v>
      </c>
      <c r="B5">
        <v>-2</v>
      </c>
      <c r="C5">
        <v>-3</v>
      </c>
      <c r="D5">
        <f t="shared" ref="D5:D6" si="3">1*B5</f>
        <v>-2</v>
      </c>
      <c r="E5">
        <f t="shared" si="0"/>
        <v>-3</v>
      </c>
      <c r="F5">
        <f t="shared" si="1"/>
        <v>-2</v>
      </c>
      <c r="G5">
        <f t="shared" si="2"/>
        <v>-3</v>
      </c>
    </row>
    <row r="6" spans="1:7" x14ac:dyDescent="0.3">
      <c r="A6" s="4">
        <f>IF(timeseries!A6&lt;&gt;"",timeseries!A6,"")</f>
        <v>44671.166666435187</v>
      </c>
      <c r="B6">
        <v>-7</v>
      </c>
      <c r="C6">
        <v>-4</v>
      </c>
      <c r="D6">
        <f t="shared" si="3"/>
        <v>-7</v>
      </c>
      <c r="E6">
        <f t="shared" si="0"/>
        <v>-4</v>
      </c>
      <c r="F6">
        <f t="shared" si="1"/>
        <v>-7</v>
      </c>
      <c r="G6">
        <f t="shared" si="2"/>
        <v>-4</v>
      </c>
    </row>
    <row r="7" spans="1:7" x14ac:dyDescent="0.3">
      <c r="A7" s="4" t="str">
        <f>IF(timeseries!A7&lt;&gt;"",timeseries!A7,"")</f>
        <v/>
      </c>
      <c r="G7"/>
    </row>
    <row r="8" spans="1:7" x14ac:dyDescent="0.3">
      <c r="A8" s="4" t="str">
        <f>IF(timeseries!A8&lt;&gt;"",timeseries!A8,"")</f>
        <v/>
      </c>
      <c r="G8"/>
    </row>
    <row r="9" spans="1:7" x14ac:dyDescent="0.3">
      <c r="A9" s="4" t="str">
        <f>IF(timeseries!A9&lt;&gt;"",timeseries!A9,"")</f>
        <v/>
      </c>
      <c r="G9"/>
    </row>
    <row r="10" spans="1:7" x14ac:dyDescent="0.3">
      <c r="A10" s="4" t="str">
        <f>IF(timeseries!A10&lt;&gt;"",timeseries!A10,"")</f>
        <v/>
      </c>
      <c r="G10"/>
    </row>
    <row r="11" spans="1:7" x14ac:dyDescent="0.3">
      <c r="A11" s="4" t="str">
        <f>IF(timeseries!A11&lt;&gt;"",timeseries!A11,"")</f>
        <v/>
      </c>
      <c r="G11"/>
    </row>
    <row r="12" spans="1:7" x14ac:dyDescent="0.3">
      <c r="A12" s="4" t="str">
        <f>IF(timeseries!A12&lt;&gt;"",timeseries!A12,"")</f>
        <v/>
      </c>
      <c r="G12"/>
    </row>
    <row r="13" spans="1:7" x14ac:dyDescent="0.3">
      <c r="A13" s="4" t="str">
        <f>IF(timeseries!A13&lt;&gt;"",timeseries!A13,"")</f>
        <v/>
      </c>
      <c r="G13"/>
    </row>
    <row r="14" spans="1:7" x14ac:dyDescent="0.3">
      <c r="A14" s="4" t="str">
        <f>IF(timeseries!A14&lt;&gt;"",timeseries!A14,"")</f>
        <v/>
      </c>
      <c r="G14"/>
    </row>
    <row r="15" spans="1:7" x14ac:dyDescent="0.3">
      <c r="A15" s="4" t="str">
        <f>IF(timeseries!A15&lt;&gt;"",timeseries!A15,"")</f>
        <v/>
      </c>
      <c r="G15"/>
    </row>
    <row r="16" spans="1:7" x14ac:dyDescent="0.3">
      <c r="A16" s="4" t="str">
        <f>IF(timeseries!A16&lt;&gt;"",timeseries!A16,"")</f>
        <v/>
      </c>
      <c r="G16"/>
    </row>
    <row r="17" spans="1:7" x14ac:dyDescent="0.3">
      <c r="A17" s="4" t="str">
        <f>IF(timeseries!A17&lt;&gt;"",timeseries!A17,"")</f>
        <v/>
      </c>
      <c r="G17"/>
    </row>
    <row r="18" spans="1:7" x14ac:dyDescent="0.3">
      <c r="A18" s="4" t="str">
        <f>IF(timeseries!A18&lt;&gt;"",timeseries!A18,"")</f>
        <v/>
      </c>
      <c r="G18"/>
    </row>
    <row r="19" spans="1:7" x14ac:dyDescent="0.3">
      <c r="A19" s="4" t="str">
        <f>IF(timeseries!A19&lt;&gt;"",timeseries!A19,"")</f>
        <v/>
      </c>
      <c r="G19"/>
    </row>
    <row r="20" spans="1:7" x14ac:dyDescent="0.3">
      <c r="A20" s="4" t="str">
        <f>IF(timeseries!A20&lt;&gt;"",timeseries!A20,"")</f>
        <v/>
      </c>
      <c r="G20"/>
    </row>
    <row r="21" spans="1:7" x14ac:dyDescent="0.3">
      <c r="A21" s="4" t="str">
        <f>IF(timeseries!A21&lt;&gt;"",timeseries!A21,"")</f>
        <v/>
      </c>
      <c r="G21"/>
    </row>
    <row r="22" spans="1:7" x14ac:dyDescent="0.3">
      <c r="A22" s="4" t="str">
        <f>IF(timeseries!A22&lt;&gt;"",timeseries!A22,"")</f>
        <v/>
      </c>
      <c r="G22"/>
    </row>
    <row r="23" spans="1:7" x14ac:dyDescent="0.3">
      <c r="A23" s="4" t="str">
        <f>IF(timeseries!A23&lt;&gt;"",timeseries!A23,"")</f>
        <v/>
      </c>
      <c r="G23"/>
    </row>
    <row r="24" spans="1:7" x14ac:dyDescent="0.3">
      <c r="A24" s="4" t="str">
        <f>IF(timeseries!A24&lt;&gt;"",timeseries!A24,"")</f>
        <v/>
      </c>
      <c r="G24"/>
    </row>
    <row r="25" spans="1:7" x14ac:dyDescent="0.3">
      <c r="A25" s="4" t="str">
        <f>IF(timeseries!A25&lt;&gt;"",timeseries!A25,"")</f>
        <v/>
      </c>
      <c r="G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I17"/>
  <sheetViews>
    <sheetView workbookViewId="0">
      <selection activeCell="G11" sqref="G11"/>
    </sheetView>
  </sheetViews>
  <sheetFormatPr defaultRowHeight="14.4" x14ac:dyDescent="0.3"/>
  <cols>
    <col min="2" max="2" width="13.33203125" bestFit="1" customWidth="1"/>
    <col min="3" max="3" width="12.109375" bestFit="1" customWidth="1"/>
    <col min="4" max="6" width="13.33203125" bestFit="1" customWidth="1"/>
    <col min="7" max="7" width="13.6640625" customWidth="1"/>
  </cols>
  <sheetData>
    <row r="1" spans="1:9" x14ac:dyDescent="0.3">
      <c r="A1" t="s">
        <v>30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 spans="1:9" x14ac:dyDescent="0.3">
      <c r="A2">
        <v>1</v>
      </c>
      <c r="B2" s="4">
        <v>44671.041666666664</v>
      </c>
      <c r="C2">
        <v>-2</v>
      </c>
      <c r="D2">
        <v>-2</v>
      </c>
      <c r="E2">
        <v>-2</v>
      </c>
      <c r="F2" s="4">
        <v>44671.124999826388</v>
      </c>
      <c r="G2">
        <v>-1</v>
      </c>
      <c r="H2">
        <v>-2</v>
      </c>
      <c r="I2">
        <v>1</v>
      </c>
    </row>
    <row r="3" spans="1:9" x14ac:dyDescent="0.3">
      <c r="A3">
        <v>2</v>
      </c>
      <c r="B3" s="4">
        <v>44671.08333321759</v>
      </c>
      <c r="C3">
        <v>1</v>
      </c>
      <c r="D3">
        <v>1</v>
      </c>
      <c r="E3">
        <v>1</v>
      </c>
      <c r="F3" s="4">
        <v>44671.166666435187</v>
      </c>
      <c r="G3">
        <v>1</v>
      </c>
      <c r="H3">
        <v>2</v>
      </c>
      <c r="I3">
        <v>-1</v>
      </c>
    </row>
    <row r="4" spans="1:9" x14ac:dyDescent="0.3">
      <c r="A4">
        <v>3</v>
      </c>
      <c r="B4" s="4">
        <v>44671.124999826388</v>
      </c>
      <c r="C4">
        <v>1</v>
      </c>
      <c r="D4">
        <v>1</v>
      </c>
      <c r="E4">
        <v>1</v>
      </c>
    </row>
    <row r="5" spans="1:9" x14ac:dyDescent="0.3">
      <c r="C5" s="4"/>
      <c r="E5" s="4"/>
    </row>
    <row r="15" spans="1:9" x14ac:dyDescent="0.3">
      <c r="C15" s="4"/>
      <c r="D15" s="4"/>
      <c r="E15" s="4"/>
      <c r="F15" s="4"/>
    </row>
    <row r="17" spans="3:6" x14ac:dyDescent="0.3">
      <c r="C17" s="4"/>
      <c r="D17" s="4"/>
      <c r="E17" s="4"/>
      <c r="F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D341-DF79-42C4-A9D4-008C7FE8FB1E}">
  <dimension ref="A1:F1"/>
  <sheetViews>
    <sheetView tabSelected="1" workbookViewId="0">
      <selection activeCell="G10" sqref="G10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163</v>
      </c>
      <c r="B1" t="s">
        <v>0</v>
      </c>
      <c r="C1" t="s">
        <v>164</v>
      </c>
      <c r="D1" t="s">
        <v>165</v>
      </c>
      <c r="E1" t="s">
        <v>166</v>
      </c>
      <c r="F1" t="s">
        <v>167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F26" sqref="F26"/>
    </sheetView>
  </sheetViews>
  <sheetFormatPr defaultRowHeight="14.4" x14ac:dyDescent="0.3"/>
  <cols>
    <col min="1" max="1" width="19.33203125" style="4" customWidth="1"/>
  </cols>
  <sheetData>
    <row r="1" spans="1:2" s="2" customFormat="1" x14ac:dyDescent="0.3">
      <c r="A1" s="2" t="s">
        <v>30</v>
      </c>
      <c r="B1" s="2" t="s">
        <v>107</v>
      </c>
    </row>
    <row r="2" spans="1:2" x14ac:dyDescent="0.3">
      <c r="A2" s="4">
        <f>IF(timeseries!A2&lt;&gt;"",timeseries!A2,"")</f>
        <v>44671</v>
      </c>
      <c r="B2">
        <v>12</v>
      </c>
    </row>
    <row r="3" spans="1:2" x14ac:dyDescent="0.3">
      <c r="A3" s="4">
        <f>IF(timeseries!A3&lt;&gt;"",timeseries!A3,"")</f>
        <v>44671.041666666664</v>
      </c>
      <c r="B3">
        <v>12</v>
      </c>
    </row>
    <row r="4" spans="1:2" x14ac:dyDescent="0.3">
      <c r="A4" s="4">
        <f>IF(timeseries!A4&lt;&gt;"",timeseries!A4,"")</f>
        <v>44671.08333321759</v>
      </c>
      <c r="B4">
        <v>12</v>
      </c>
    </row>
    <row r="5" spans="1:2" x14ac:dyDescent="0.3">
      <c r="A5" s="4">
        <f>IF(timeseries!A5&lt;&gt;"",timeseries!A5,"")</f>
        <v>44671.124999826388</v>
      </c>
      <c r="B5">
        <v>12</v>
      </c>
    </row>
    <row r="6" spans="1:2" x14ac:dyDescent="0.3">
      <c r="A6" s="4">
        <f>IF(timeseries!A6&lt;&gt;"",timeseries!A6,"")</f>
        <v>44671.166666435187</v>
      </c>
      <c r="B6">
        <v>12</v>
      </c>
    </row>
    <row r="7" spans="1:2" x14ac:dyDescent="0.3">
      <c r="A7" s="4" t="str">
        <f>IF(timeseries!A7&lt;&gt;"",timeseries!A7,"")</f>
        <v/>
      </c>
    </row>
    <row r="8" spans="1:2" x14ac:dyDescent="0.3">
      <c r="A8" s="4" t="str">
        <f>IF(timeseries!A8&lt;&gt;"",timeseries!A8,"")</f>
        <v/>
      </c>
    </row>
    <row r="9" spans="1:2" x14ac:dyDescent="0.3">
      <c r="A9" s="4" t="str">
        <f>IF(timeseries!A9&lt;&gt;"",timeseries!A9,"")</f>
        <v/>
      </c>
    </row>
    <row r="10" spans="1:2" x14ac:dyDescent="0.3">
      <c r="A10" s="4" t="str">
        <f>IF(timeseries!A10&lt;&gt;"",timeseries!A10,"")</f>
        <v/>
      </c>
    </row>
    <row r="11" spans="1:2" x14ac:dyDescent="0.3">
      <c r="A11" s="4" t="str">
        <f>IF(timeseries!A11&lt;&gt;"",timeseries!A11,"")</f>
        <v/>
      </c>
    </row>
    <row r="12" spans="1:2" x14ac:dyDescent="0.3">
      <c r="A12" s="4" t="str">
        <f>IF(timeseries!A12&lt;&gt;"",timeseries!A12,"")</f>
        <v/>
      </c>
    </row>
    <row r="13" spans="1:2" x14ac:dyDescent="0.3">
      <c r="A13" s="4" t="str">
        <f>IF(timeseries!A13&lt;&gt;"",timeseries!A13,"")</f>
        <v/>
      </c>
    </row>
    <row r="14" spans="1:2" x14ac:dyDescent="0.3">
      <c r="A14" s="4" t="str">
        <f>IF(timeseries!A14&lt;&gt;"",timeseries!A14,"")</f>
        <v/>
      </c>
    </row>
    <row r="15" spans="1:2" x14ac:dyDescent="0.3">
      <c r="A15" s="4" t="str">
        <f>IF(timeseries!A15&lt;&gt;"",timeseries!A15,"")</f>
        <v/>
      </c>
    </row>
    <row r="16" spans="1: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5"/>
  <sheetViews>
    <sheetView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2" customFormat="1" x14ac:dyDescent="0.3">
      <c r="A1" s="2" t="s">
        <v>31</v>
      </c>
      <c r="B1" s="2" t="s">
        <v>159</v>
      </c>
      <c r="C1" s="2" t="s">
        <v>0</v>
      </c>
      <c r="D1" s="2" t="s">
        <v>126</v>
      </c>
      <c r="E1" s="2" t="s">
        <v>41</v>
      </c>
      <c r="F1" s="2" t="s">
        <v>76</v>
      </c>
      <c r="G1" s="2" t="s">
        <v>104</v>
      </c>
      <c r="H1" s="2" t="s">
        <v>120</v>
      </c>
      <c r="I1" s="2" t="s">
        <v>122</v>
      </c>
      <c r="J1" s="2" t="s">
        <v>123</v>
      </c>
      <c r="K1" s="2" t="s">
        <v>121</v>
      </c>
    </row>
    <row r="2" spans="1:11" x14ac:dyDescent="0.3">
      <c r="A2" s="3" t="s">
        <v>12</v>
      </c>
      <c r="B2" s="3" t="s">
        <v>37</v>
      </c>
      <c r="C2" s="3" t="s">
        <v>8</v>
      </c>
      <c r="D2" s="3" t="s">
        <v>127</v>
      </c>
      <c r="E2" s="3" t="s">
        <v>42</v>
      </c>
      <c r="F2" s="3" t="s">
        <v>42</v>
      </c>
      <c r="G2">
        <v>1</v>
      </c>
      <c r="H2">
        <v>0</v>
      </c>
      <c r="I2" s="3">
        <v>0</v>
      </c>
      <c r="J2" s="3">
        <v>0</v>
      </c>
      <c r="K2" s="3">
        <v>0</v>
      </c>
    </row>
    <row r="3" spans="1:11" x14ac:dyDescent="0.3">
      <c r="A3" s="3" t="s">
        <v>38</v>
      </c>
      <c r="B3" s="3" t="s">
        <v>36</v>
      </c>
      <c r="C3" s="3" t="s">
        <v>128</v>
      </c>
      <c r="D3" s="3" t="s">
        <v>127</v>
      </c>
      <c r="E3" s="3" t="s">
        <v>43</v>
      </c>
      <c r="F3" s="3" t="s">
        <v>74</v>
      </c>
      <c r="G3">
        <v>1</v>
      </c>
      <c r="H3">
        <v>1</v>
      </c>
      <c r="I3" s="3">
        <v>0.5</v>
      </c>
      <c r="J3" s="3">
        <v>10</v>
      </c>
      <c r="K3" s="3">
        <v>50</v>
      </c>
    </row>
    <row r="4" spans="1:11" x14ac:dyDescent="0.3">
      <c r="A4" s="3" t="s">
        <v>39</v>
      </c>
      <c r="B4" s="3" t="s">
        <v>36</v>
      </c>
      <c r="C4" s="3" t="s">
        <v>128</v>
      </c>
      <c r="D4" s="3" t="s">
        <v>127</v>
      </c>
      <c r="E4" s="3" t="s">
        <v>77</v>
      </c>
      <c r="F4" s="3" t="s">
        <v>75</v>
      </c>
      <c r="G4">
        <v>1</v>
      </c>
      <c r="H4">
        <v>0</v>
      </c>
      <c r="I4" s="3">
        <v>0</v>
      </c>
      <c r="J4" s="3">
        <v>0</v>
      </c>
      <c r="K4" s="3">
        <v>0</v>
      </c>
    </row>
    <row r="5" spans="1:11" x14ac:dyDescent="0.3">
      <c r="A5" s="3" t="s">
        <v>40</v>
      </c>
      <c r="B5" s="3" t="s">
        <v>36</v>
      </c>
      <c r="C5" s="3" t="s">
        <v>128</v>
      </c>
      <c r="D5" s="3" t="s">
        <v>127</v>
      </c>
      <c r="E5" s="3" t="s">
        <v>78</v>
      </c>
      <c r="F5" s="3" t="s">
        <v>75</v>
      </c>
      <c r="G5">
        <v>1</v>
      </c>
      <c r="H5">
        <v>1</v>
      </c>
      <c r="I5" s="3">
        <v>0.5</v>
      </c>
      <c r="J5" s="3">
        <v>5</v>
      </c>
      <c r="K5" s="3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J25"/>
  <sheetViews>
    <sheetView workbookViewId="0">
      <selection activeCell="B1" sqref="B1:J7"/>
    </sheetView>
  </sheetViews>
  <sheetFormatPr defaultRowHeight="14.4" x14ac:dyDescent="0.3"/>
  <cols>
    <col min="1" max="1" width="19.33203125" style="4" customWidth="1"/>
    <col min="2" max="3" width="6.5546875" customWidth="1"/>
  </cols>
  <sheetData>
    <row r="1" spans="1:10" x14ac:dyDescent="0.3">
      <c r="A1" s="2" t="s">
        <v>30</v>
      </c>
      <c r="B1" t="s">
        <v>56</v>
      </c>
      <c r="C1" t="s">
        <v>60</v>
      </c>
      <c r="D1" t="s">
        <v>64</v>
      </c>
      <c r="E1" t="s">
        <v>57</v>
      </c>
      <c r="F1" t="s">
        <v>61</v>
      </c>
      <c r="G1" t="s">
        <v>65</v>
      </c>
      <c r="H1" t="s">
        <v>58</v>
      </c>
      <c r="I1" t="s">
        <v>62</v>
      </c>
      <c r="J1" t="s">
        <v>66</v>
      </c>
    </row>
    <row r="2" spans="1:10" x14ac:dyDescent="0.3">
      <c r="A2" s="4">
        <f>IF(timeseries!A2&lt;&gt;"",timeseries!A2,"")</f>
        <v>44671</v>
      </c>
      <c r="B2">
        <v>0.2</v>
      </c>
      <c r="C2">
        <v>0.3</v>
      </c>
      <c r="D2">
        <v>0.2</v>
      </c>
      <c r="E2">
        <v>0.2</v>
      </c>
      <c r="F2">
        <v>0.3</v>
      </c>
      <c r="G2">
        <v>0.2</v>
      </c>
      <c r="H2">
        <v>0.2</v>
      </c>
      <c r="I2">
        <v>0.3</v>
      </c>
      <c r="J2">
        <v>0.2</v>
      </c>
    </row>
    <row r="3" spans="1:10" x14ac:dyDescent="0.3">
      <c r="A3" s="4">
        <f>IF(timeseries!A3&lt;&gt;"",timeseries!A3,"")</f>
        <v>44671.041666666664</v>
      </c>
      <c r="B3">
        <v>0.2</v>
      </c>
      <c r="C3">
        <v>0.3</v>
      </c>
      <c r="D3">
        <v>0.2</v>
      </c>
      <c r="E3">
        <v>0.2</v>
      </c>
      <c r="F3">
        <v>0.3</v>
      </c>
      <c r="G3">
        <v>0.2</v>
      </c>
      <c r="H3">
        <v>0.2</v>
      </c>
      <c r="I3">
        <v>0.3</v>
      </c>
      <c r="J3">
        <v>0.2</v>
      </c>
    </row>
    <row r="4" spans="1:10" x14ac:dyDescent="0.3">
      <c r="A4" s="4">
        <f>IF(timeseries!A4&lt;&gt;"",timeseries!A4,"")</f>
        <v>44671.08333321759</v>
      </c>
      <c r="B4">
        <v>0.2</v>
      </c>
      <c r="C4">
        <v>0.3</v>
      </c>
      <c r="D4">
        <v>0.2</v>
      </c>
      <c r="E4">
        <v>0.2</v>
      </c>
      <c r="F4">
        <v>0.3</v>
      </c>
      <c r="G4">
        <v>0.2</v>
      </c>
      <c r="H4">
        <v>0.2</v>
      </c>
      <c r="I4">
        <v>0.3</v>
      </c>
      <c r="J4">
        <v>0.2</v>
      </c>
    </row>
    <row r="5" spans="1:10" x14ac:dyDescent="0.3">
      <c r="A5" s="4">
        <f>IF(timeseries!A5&lt;&gt;"",timeseries!A5,"")</f>
        <v>44671.124999826388</v>
      </c>
      <c r="B5">
        <v>0.2</v>
      </c>
      <c r="C5">
        <v>0.3</v>
      </c>
      <c r="D5">
        <v>0.2</v>
      </c>
      <c r="E5">
        <v>0.2</v>
      </c>
      <c r="F5">
        <v>0.3</v>
      </c>
      <c r="G5">
        <v>0.2</v>
      </c>
      <c r="H5">
        <v>0.2</v>
      </c>
      <c r="I5">
        <v>0.3</v>
      </c>
      <c r="J5">
        <v>0.2</v>
      </c>
    </row>
    <row r="6" spans="1:10" x14ac:dyDescent="0.3">
      <c r="A6" s="4">
        <f>IF(timeseries!A6&lt;&gt;"",timeseries!A6,"")</f>
        <v>44671.166666435187</v>
      </c>
      <c r="B6">
        <v>0.2</v>
      </c>
      <c r="C6">
        <v>0.3</v>
      </c>
      <c r="D6">
        <v>0.2</v>
      </c>
      <c r="E6">
        <v>0.2</v>
      </c>
      <c r="F6">
        <v>0.3</v>
      </c>
      <c r="G6">
        <v>0.2</v>
      </c>
      <c r="H6">
        <v>0.2</v>
      </c>
      <c r="I6">
        <v>0.3</v>
      </c>
      <c r="J6">
        <v>0.2</v>
      </c>
    </row>
    <row r="7" spans="1:10" x14ac:dyDescent="0.3">
      <c r="A7" s="4" t="str">
        <f>IF(timeseries!A7&lt;&gt;"",timeseries!A7,"")</f>
        <v/>
      </c>
    </row>
    <row r="8" spans="1:10" x14ac:dyDescent="0.3">
      <c r="A8" s="4" t="str">
        <f>IF(timeseries!A8&lt;&gt;"",timeseries!A8,"")</f>
        <v/>
      </c>
      <c r="D8" s="3"/>
      <c r="E8" s="3"/>
      <c r="F8" s="3"/>
    </row>
    <row r="9" spans="1:10" x14ac:dyDescent="0.3">
      <c r="A9" s="4" t="str">
        <f>IF(timeseries!A9&lt;&gt;"",timeseries!A9,"")</f>
        <v/>
      </c>
    </row>
    <row r="10" spans="1:10" x14ac:dyDescent="0.3">
      <c r="A10" s="4" t="str">
        <f>IF(timeseries!A10&lt;&gt;"",timeseries!A10,"")</f>
        <v/>
      </c>
    </row>
    <row r="11" spans="1:10" x14ac:dyDescent="0.3">
      <c r="A11" s="4" t="str">
        <f>IF(timeseries!A11&lt;&gt;"",timeseries!A11,"")</f>
        <v/>
      </c>
    </row>
    <row r="12" spans="1:10" x14ac:dyDescent="0.3">
      <c r="A12" s="4" t="str">
        <f>IF(timeseries!A12&lt;&gt;"",timeseries!A12,"")</f>
        <v/>
      </c>
    </row>
    <row r="13" spans="1:10" x14ac:dyDescent="0.3">
      <c r="A13" s="4" t="str">
        <f>IF(timeseries!A13&lt;&gt;"",timeseries!A13,"")</f>
        <v/>
      </c>
    </row>
    <row r="14" spans="1:10" x14ac:dyDescent="0.3">
      <c r="A14" s="4" t="str">
        <f>IF(timeseries!A14&lt;&gt;"",timeseries!A14,"")</f>
        <v/>
      </c>
    </row>
    <row r="15" spans="1:10" x14ac:dyDescent="0.3">
      <c r="A15" s="4" t="str">
        <f>IF(timeseries!A15&lt;&gt;"",timeseries!A15,"")</f>
        <v/>
      </c>
    </row>
    <row r="16" spans="1:10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B47-4DF2-4CE7-989A-6ED48E9B6093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30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44671.124999826388</v>
      </c>
    </row>
    <row r="6" spans="1:1" x14ac:dyDescent="0.3">
      <c r="A6" s="4">
        <f>IF(timeseries!A6&lt;&gt;"",timeseries!A6,"")</f>
        <v>44671.166666435187</v>
      </c>
    </row>
    <row r="7" spans="1:1" x14ac:dyDescent="0.3">
      <c r="A7" s="4" t="str">
        <f>IF(timeseries!A7&lt;&gt;"",timeseries!A7,"")</f>
        <v/>
      </c>
    </row>
    <row r="8" spans="1:1" x14ac:dyDescent="0.3">
      <c r="A8" s="4" t="str">
        <f>IF(timeseries!A8&lt;&gt;"",timeseries!A8,"")</f>
        <v/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M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2" max="5" width="11.44140625" customWidth="1"/>
    <col min="6" max="13" width="11.109375" customWidth="1"/>
  </cols>
  <sheetData>
    <row r="1" spans="1:13" s="2" customFormat="1" x14ac:dyDescent="0.3">
      <c r="A1" s="2" t="s">
        <v>30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</row>
    <row r="2" spans="1:13" x14ac:dyDescent="0.3">
      <c r="A2" s="4">
        <f>IF(timeseries!A2&lt;&gt;"",timeseries!A2,"")</f>
        <v>44671</v>
      </c>
      <c r="B2">
        <v>48</v>
      </c>
      <c r="C2">
        <v>5</v>
      </c>
      <c r="D2">
        <v>4</v>
      </c>
      <c r="E2">
        <v>12</v>
      </c>
      <c r="F2">
        <f>B2</f>
        <v>48</v>
      </c>
      <c r="G2">
        <f t="shared" ref="G2:M2" si="0">C2</f>
        <v>5</v>
      </c>
      <c r="H2">
        <f t="shared" si="0"/>
        <v>4</v>
      </c>
      <c r="I2">
        <f t="shared" si="0"/>
        <v>12</v>
      </c>
      <c r="J2">
        <f t="shared" si="0"/>
        <v>48</v>
      </c>
      <c r="K2">
        <f t="shared" si="0"/>
        <v>5</v>
      </c>
      <c r="L2">
        <f t="shared" si="0"/>
        <v>4</v>
      </c>
      <c r="M2">
        <f t="shared" si="0"/>
        <v>12</v>
      </c>
    </row>
    <row r="3" spans="1:13" x14ac:dyDescent="0.3">
      <c r="A3" s="4">
        <f>IF(timeseries!A3&lt;&gt;"",timeseries!A3,"")</f>
        <v>44671.041666666664</v>
      </c>
      <c r="B3">
        <v>60</v>
      </c>
      <c r="C3">
        <v>34</v>
      </c>
      <c r="D3">
        <v>56</v>
      </c>
      <c r="E3">
        <v>71</v>
      </c>
      <c r="F3">
        <f t="shared" ref="F3:F4" si="1">B3</f>
        <v>60</v>
      </c>
      <c r="G3">
        <f t="shared" ref="G3:G4" si="2">C3</f>
        <v>34</v>
      </c>
      <c r="H3">
        <f t="shared" ref="H3:H4" si="3">D3</f>
        <v>56</v>
      </c>
      <c r="I3">
        <f t="shared" ref="I3:I4" si="4">E3</f>
        <v>71</v>
      </c>
      <c r="J3">
        <f t="shared" ref="J3:J4" si="5">F3</f>
        <v>60</v>
      </c>
      <c r="K3">
        <f t="shared" ref="K3:K4" si="6">G3</f>
        <v>34</v>
      </c>
      <c r="L3">
        <f t="shared" ref="L3:L4" si="7">H3</f>
        <v>56</v>
      </c>
      <c r="M3">
        <f t="shared" ref="M3:M4" si="8">I3</f>
        <v>71</v>
      </c>
    </row>
    <row r="4" spans="1:13" x14ac:dyDescent="0.3">
      <c r="A4" s="4">
        <f>IF(timeseries!A4&lt;&gt;"",timeseries!A4,"")</f>
        <v>44671.08333321759</v>
      </c>
      <c r="B4">
        <v>58</v>
      </c>
      <c r="C4">
        <v>92</v>
      </c>
      <c r="D4">
        <v>44</v>
      </c>
      <c r="E4">
        <v>42</v>
      </c>
      <c r="F4">
        <f t="shared" si="1"/>
        <v>58</v>
      </c>
      <c r="G4">
        <f t="shared" si="2"/>
        <v>92</v>
      </c>
      <c r="H4">
        <f t="shared" si="3"/>
        <v>44</v>
      </c>
      <c r="I4">
        <f t="shared" si="4"/>
        <v>42</v>
      </c>
      <c r="J4">
        <f t="shared" si="5"/>
        <v>58</v>
      </c>
      <c r="K4">
        <f t="shared" si="6"/>
        <v>92</v>
      </c>
      <c r="L4">
        <f t="shared" si="7"/>
        <v>44</v>
      </c>
      <c r="M4">
        <f t="shared" si="8"/>
        <v>42</v>
      </c>
    </row>
    <row r="5" spans="1:13" x14ac:dyDescent="0.3">
      <c r="A5" s="4">
        <f>IF(timeseries!A5&lt;&gt;"",timeseries!A5,"")</f>
        <v>44671.124999826388</v>
      </c>
      <c r="B5">
        <v>51</v>
      </c>
      <c r="C5">
        <v>66</v>
      </c>
      <c r="D5">
        <v>86</v>
      </c>
      <c r="E5">
        <v>39</v>
      </c>
      <c r="F5">
        <v>76.5</v>
      </c>
      <c r="G5">
        <v>79.2</v>
      </c>
      <c r="H5">
        <v>103.2</v>
      </c>
      <c r="I5">
        <v>46.8</v>
      </c>
      <c r="J5">
        <v>25.5</v>
      </c>
      <c r="K5">
        <v>0</v>
      </c>
      <c r="L5">
        <v>0</v>
      </c>
      <c r="M5">
        <v>0</v>
      </c>
    </row>
    <row r="6" spans="1:13" x14ac:dyDescent="0.3">
      <c r="A6" s="4">
        <f>IF(timeseries!A6&lt;&gt;"",timeseries!A6,"")</f>
        <v>44671.166666435187</v>
      </c>
      <c r="B6">
        <v>37</v>
      </c>
      <c r="C6">
        <v>64</v>
      </c>
      <c r="D6">
        <v>10</v>
      </c>
      <c r="E6">
        <v>78</v>
      </c>
      <c r="F6">
        <v>55.5</v>
      </c>
      <c r="G6">
        <v>76.8</v>
      </c>
      <c r="H6">
        <v>12</v>
      </c>
      <c r="I6">
        <v>93.6</v>
      </c>
      <c r="J6">
        <v>18.5</v>
      </c>
      <c r="K6">
        <v>0</v>
      </c>
      <c r="L6">
        <v>0</v>
      </c>
      <c r="M6">
        <v>0</v>
      </c>
    </row>
    <row r="7" spans="1:13" x14ac:dyDescent="0.3">
      <c r="A7" s="4" t="str">
        <f>IF(timeseries!A7&lt;&gt;"",timeseries!A7,"")</f>
        <v/>
      </c>
    </row>
    <row r="8" spans="1:13" x14ac:dyDescent="0.3">
      <c r="A8" s="4" t="str">
        <f>IF(timeseries!A8&lt;&gt;"",timeseries!A8,"")</f>
        <v/>
      </c>
    </row>
    <row r="9" spans="1:13" x14ac:dyDescent="0.3">
      <c r="A9" s="4" t="str">
        <f>IF(timeseries!A9&lt;&gt;"",timeseries!A9,"")</f>
        <v/>
      </c>
    </row>
    <row r="10" spans="1:13" x14ac:dyDescent="0.3">
      <c r="A10" s="4" t="str">
        <f>IF(timeseries!A10&lt;&gt;"",timeseries!A10,"")</f>
        <v/>
      </c>
    </row>
    <row r="11" spans="1:13" x14ac:dyDescent="0.3">
      <c r="A11" s="4" t="str">
        <f>IF(timeseries!A11&lt;&gt;"",timeseries!A11,"")</f>
        <v/>
      </c>
    </row>
    <row r="12" spans="1:13" x14ac:dyDescent="0.3">
      <c r="A12" s="4" t="str">
        <f>IF(timeseries!A12&lt;&gt;"",timeseries!A12,"")</f>
        <v/>
      </c>
    </row>
    <row r="13" spans="1:13" x14ac:dyDescent="0.3">
      <c r="A13" s="4" t="str">
        <f>IF(timeseries!A13&lt;&gt;"",timeseries!A13,"")</f>
        <v/>
      </c>
    </row>
    <row r="14" spans="1:13" x14ac:dyDescent="0.3">
      <c r="A14" s="4" t="str">
        <f>IF(timeseries!A14&lt;&gt;"",timeseries!A14,"")</f>
        <v/>
      </c>
    </row>
    <row r="15" spans="1:13" x14ac:dyDescent="0.3">
      <c r="A15" s="4" t="str">
        <f>IF(timeseries!A15&lt;&gt;"",timeseries!A15,"")</f>
        <v/>
      </c>
    </row>
    <row r="16" spans="1:1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G25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2" max="4" width="10.33203125" customWidth="1"/>
    <col min="5" max="7" width="11.6640625" customWidth="1"/>
  </cols>
  <sheetData>
    <row r="1" spans="1:7" x14ac:dyDescent="0.3">
      <c r="A1" s="2" t="s">
        <v>30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</row>
    <row r="2" spans="1:7" x14ac:dyDescent="0.3">
      <c r="A2" s="4">
        <f>IF(timeseries!A2&lt;&gt;"",timeseries!A2,"")</f>
        <v>44671</v>
      </c>
      <c r="B2">
        <f>1.1*market_prices!B2</f>
        <v>52.800000000000004</v>
      </c>
      <c r="C2">
        <f>1.1*market_prices!F2</f>
        <v>52.800000000000004</v>
      </c>
      <c r="D2">
        <f>1.1*market_prices!J2</f>
        <v>52.800000000000004</v>
      </c>
      <c r="E2">
        <f>0.9*market_prices!B2</f>
        <v>43.2</v>
      </c>
      <c r="F2">
        <f>0.9*market_prices!F2</f>
        <v>43.2</v>
      </c>
      <c r="G2">
        <f>0.9*market_prices!J2</f>
        <v>43.2</v>
      </c>
    </row>
    <row r="3" spans="1:7" x14ac:dyDescent="0.3">
      <c r="A3" s="4">
        <f>IF(timeseries!A3&lt;&gt;"",timeseries!A3,"")</f>
        <v>44671.041666666664</v>
      </c>
      <c r="B3">
        <f>1.1*market_prices!B3</f>
        <v>66</v>
      </c>
      <c r="C3">
        <f>1.1*market_prices!F3</f>
        <v>66</v>
      </c>
      <c r="D3">
        <f>1.1*market_prices!J3</f>
        <v>66</v>
      </c>
      <c r="E3">
        <f>0.9*market_prices!B3</f>
        <v>54</v>
      </c>
      <c r="F3">
        <f>0.9*market_prices!F3</f>
        <v>54</v>
      </c>
      <c r="G3">
        <f>0.9*market_prices!J3</f>
        <v>54</v>
      </c>
    </row>
    <row r="4" spans="1:7" x14ac:dyDescent="0.3">
      <c r="A4" s="4">
        <f>IF(timeseries!A4&lt;&gt;"",timeseries!A4,"")</f>
        <v>44671.08333321759</v>
      </c>
      <c r="B4">
        <f>1.1*market_prices!B4</f>
        <v>63.800000000000004</v>
      </c>
      <c r="C4">
        <f>1.1*market_prices!F4</f>
        <v>63.800000000000004</v>
      </c>
      <c r="D4">
        <f>1.1*market_prices!J4</f>
        <v>63.800000000000004</v>
      </c>
      <c r="E4">
        <f>0.9*market_prices!B4</f>
        <v>52.2</v>
      </c>
      <c r="F4">
        <f>0.9*market_prices!F4</f>
        <v>52.2</v>
      </c>
      <c r="G4">
        <f>0.9*market_prices!J4</f>
        <v>52.2</v>
      </c>
    </row>
    <row r="5" spans="1:7" x14ac:dyDescent="0.3">
      <c r="A5" s="4">
        <f>IF(timeseries!A5&lt;&gt;"",timeseries!A5,"")</f>
        <v>44671.124999826388</v>
      </c>
      <c r="B5">
        <f>1.1*market_prices!B5</f>
        <v>56.1</v>
      </c>
      <c r="C5">
        <f>1.1*market_prices!F5</f>
        <v>84.15</v>
      </c>
      <c r="D5">
        <f>1.1*market_prices!J5</f>
        <v>28.05</v>
      </c>
      <c r="E5">
        <f>0.9*market_prices!B5</f>
        <v>45.9</v>
      </c>
      <c r="F5">
        <f>0.9*market_prices!F5</f>
        <v>68.850000000000009</v>
      </c>
      <c r="G5">
        <f>0.9*market_prices!J5</f>
        <v>22.95</v>
      </c>
    </row>
    <row r="6" spans="1:7" x14ac:dyDescent="0.3">
      <c r="A6" s="4">
        <f>IF(timeseries!A6&lt;&gt;"",timeseries!A6,"")</f>
        <v>44671.166666435187</v>
      </c>
      <c r="B6">
        <f>1.1*market_prices!B6</f>
        <v>40.700000000000003</v>
      </c>
      <c r="C6">
        <f>1.1*market_prices!F6</f>
        <v>61.050000000000004</v>
      </c>
      <c r="D6">
        <f>1.1*market_prices!J6</f>
        <v>20.350000000000001</v>
      </c>
      <c r="E6">
        <f>0.9*market_prices!B6</f>
        <v>33.300000000000004</v>
      </c>
      <c r="F6">
        <f>0.9*market_prices!F6</f>
        <v>49.95</v>
      </c>
      <c r="G6">
        <f>0.9*market_prices!J6</f>
        <v>16.650000000000002</v>
      </c>
    </row>
    <row r="7" spans="1:7" x14ac:dyDescent="0.3">
      <c r="A7" s="4" t="str">
        <f>IF(timeseries!A7&lt;&gt;"",timeseries!A7,"")</f>
        <v/>
      </c>
    </row>
    <row r="8" spans="1:7" x14ac:dyDescent="0.3">
      <c r="A8" s="4" t="str">
        <f>IF(timeseries!A8&lt;&gt;"",timeseries!A8,"")</f>
        <v/>
      </c>
    </row>
    <row r="9" spans="1:7" x14ac:dyDescent="0.3">
      <c r="A9" s="4" t="str">
        <f>IF(timeseries!A9&lt;&gt;"",timeseries!A9,"")</f>
        <v/>
      </c>
    </row>
    <row r="10" spans="1:7" x14ac:dyDescent="0.3">
      <c r="A10" s="4" t="str">
        <f>IF(timeseries!A10&lt;&gt;"",timeseries!A10,"")</f>
        <v/>
      </c>
    </row>
    <row r="11" spans="1:7" x14ac:dyDescent="0.3">
      <c r="A11" s="4" t="str">
        <f>IF(timeseries!A11&lt;&gt;"",timeseries!A11,"")</f>
        <v/>
      </c>
    </row>
    <row r="12" spans="1:7" x14ac:dyDescent="0.3">
      <c r="A12" s="4" t="str">
        <f>IF(timeseries!A12&lt;&gt;"",timeseries!A12,"")</f>
        <v/>
      </c>
    </row>
    <row r="13" spans="1:7" x14ac:dyDescent="0.3">
      <c r="A13" s="4" t="str">
        <f>IF(timeseries!A13&lt;&gt;"",timeseries!A13,"")</f>
        <v/>
      </c>
    </row>
    <row r="14" spans="1:7" x14ac:dyDescent="0.3">
      <c r="A14" s="4" t="str">
        <f>IF(timeseries!A14&lt;&gt;"",timeseries!A14,"")</f>
        <v/>
      </c>
    </row>
    <row r="15" spans="1:7" x14ac:dyDescent="0.3">
      <c r="A15" s="4" t="str">
        <f>IF(timeseries!A15&lt;&gt;"",timeseries!A15,"")</f>
        <v/>
      </c>
    </row>
    <row r="16" spans="1:7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427A-5538-47DE-980F-BB3AB58D71B6}">
  <dimension ref="A1:BA25"/>
  <sheetViews>
    <sheetView workbookViewId="0">
      <selection activeCell="D13" sqref="D13"/>
    </sheetView>
  </sheetViews>
  <sheetFormatPr defaultRowHeight="14.4" x14ac:dyDescent="0.3"/>
  <cols>
    <col min="1" max="1" width="14.33203125" bestFit="1" customWidth="1"/>
  </cols>
  <sheetData>
    <row r="1" spans="1:53" s="2" customFormat="1" x14ac:dyDescent="0.3">
      <c r="A1" s="2" t="s">
        <v>30</v>
      </c>
      <c r="B1" t="s">
        <v>56</v>
      </c>
      <c r="C1" t="s">
        <v>60</v>
      </c>
      <c r="D1" t="s">
        <v>64</v>
      </c>
      <c r="E1" t="s">
        <v>57</v>
      </c>
      <c r="F1" t="s">
        <v>61</v>
      </c>
      <c r="G1" t="s">
        <v>65</v>
      </c>
      <c r="H1" t="s">
        <v>58</v>
      </c>
      <c r="I1" t="s">
        <v>62</v>
      </c>
      <c r="J1" t="s">
        <v>66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4">
        <f>IF(timeseries!A2&lt;&gt;"",timeseries!A2,"")</f>
        <v>44671</v>
      </c>
      <c r="B2">
        <v>0.2</v>
      </c>
      <c r="C2">
        <v>0.3</v>
      </c>
      <c r="D2">
        <v>0.2</v>
      </c>
      <c r="E2">
        <v>0.2</v>
      </c>
      <c r="F2">
        <v>0.3</v>
      </c>
      <c r="G2">
        <v>0.2</v>
      </c>
      <c r="H2">
        <v>0.2</v>
      </c>
      <c r="I2">
        <v>0.3</v>
      </c>
      <c r="J2">
        <v>0.2</v>
      </c>
    </row>
    <row r="3" spans="1:53" x14ac:dyDescent="0.3">
      <c r="A3" s="4">
        <f>IF(timeseries!A3&lt;&gt;"",timeseries!A3,"")</f>
        <v>44671.041666666664</v>
      </c>
      <c r="B3">
        <v>0.2</v>
      </c>
      <c r="C3">
        <v>0.3</v>
      </c>
      <c r="D3">
        <v>0.2</v>
      </c>
      <c r="E3">
        <v>0.2</v>
      </c>
      <c r="F3">
        <v>0.3</v>
      </c>
      <c r="G3">
        <v>0.2</v>
      </c>
      <c r="H3">
        <v>0.2</v>
      </c>
      <c r="I3">
        <v>0.3</v>
      </c>
      <c r="J3">
        <v>0.2</v>
      </c>
    </row>
    <row r="4" spans="1:53" x14ac:dyDescent="0.3">
      <c r="A4" s="4">
        <f>IF(timeseries!A4&lt;&gt;"",timeseries!A4,"")</f>
        <v>44671.08333321759</v>
      </c>
      <c r="B4">
        <v>0.2</v>
      </c>
      <c r="C4">
        <v>0.3</v>
      </c>
      <c r="D4">
        <v>0.2</v>
      </c>
      <c r="E4">
        <v>0.2</v>
      </c>
      <c r="F4">
        <v>0.3</v>
      </c>
      <c r="G4">
        <v>0.2</v>
      </c>
      <c r="H4">
        <v>0.2</v>
      </c>
      <c r="I4">
        <v>0.3</v>
      </c>
      <c r="J4">
        <v>0.2</v>
      </c>
    </row>
    <row r="5" spans="1:53" x14ac:dyDescent="0.3">
      <c r="A5" s="4">
        <f>IF(timeseries!A5&lt;&gt;"",timeseries!A5,"")</f>
        <v>44671.124999826388</v>
      </c>
      <c r="B5">
        <v>0.2</v>
      </c>
      <c r="C5">
        <v>0.3</v>
      </c>
      <c r="D5">
        <v>0.2</v>
      </c>
      <c r="E5">
        <v>0.2</v>
      </c>
      <c r="F5">
        <v>0.3</v>
      </c>
      <c r="G5">
        <v>0.2</v>
      </c>
      <c r="H5">
        <v>0.2</v>
      </c>
      <c r="I5">
        <v>0.3</v>
      </c>
      <c r="J5">
        <v>0.2</v>
      </c>
    </row>
    <row r="6" spans="1:53" x14ac:dyDescent="0.3">
      <c r="A6" s="4">
        <f>IF(timeseries!A6&lt;&gt;"",timeseries!A6,"")</f>
        <v>44671.166666435187</v>
      </c>
      <c r="B6">
        <v>0.2</v>
      </c>
      <c r="C6">
        <v>0.3</v>
      </c>
      <c r="D6">
        <v>0.2</v>
      </c>
      <c r="E6">
        <v>0.2</v>
      </c>
      <c r="F6">
        <v>0.3</v>
      </c>
      <c r="G6">
        <v>0.2</v>
      </c>
      <c r="H6">
        <v>0.2</v>
      </c>
      <c r="I6">
        <v>0.3</v>
      </c>
      <c r="J6">
        <v>0.2</v>
      </c>
    </row>
    <row r="7" spans="1:53" x14ac:dyDescent="0.3">
      <c r="A7" s="4" t="str">
        <f>IF(timeseries!A7&lt;&gt;"",timeseries!A7,"")</f>
        <v/>
      </c>
    </row>
    <row r="8" spans="1:53" x14ac:dyDescent="0.3">
      <c r="A8" s="4" t="str">
        <f>IF(timeseries!A8&lt;&gt;"",timeseries!A8,"")</f>
        <v/>
      </c>
    </row>
    <row r="9" spans="1:53" x14ac:dyDescent="0.3">
      <c r="A9" s="4" t="str">
        <f>IF(timeseries!A9&lt;&gt;"",timeseries!A9,"")</f>
        <v/>
      </c>
    </row>
    <row r="10" spans="1:53" x14ac:dyDescent="0.3">
      <c r="A10" s="4" t="str">
        <f>IF(timeseries!A10&lt;&gt;"",timeseries!A10,"")</f>
        <v/>
      </c>
    </row>
    <row r="11" spans="1:53" x14ac:dyDescent="0.3">
      <c r="A11" s="4" t="str">
        <f>IF(timeseries!A11&lt;&gt;"",timeseries!A11,"")</f>
        <v/>
      </c>
    </row>
    <row r="12" spans="1:53" x14ac:dyDescent="0.3">
      <c r="A12" s="4" t="str">
        <f>IF(timeseries!A12&lt;&gt;"",timeseries!A12,"")</f>
        <v/>
      </c>
    </row>
    <row r="13" spans="1:53" x14ac:dyDescent="0.3">
      <c r="A13" s="4" t="str">
        <f>IF(timeseries!A13&lt;&gt;"",timeseries!A13,"")</f>
        <v/>
      </c>
    </row>
    <row r="14" spans="1:53" x14ac:dyDescent="0.3">
      <c r="A14" s="4" t="str">
        <f>IF(timeseries!A14&lt;&gt;"",timeseries!A14,"")</f>
        <v/>
      </c>
    </row>
    <row r="15" spans="1:53" x14ac:dyDescent="0.3">
      <c r="A15" s="4" t="str">
        <f>IF(timeseries!A15&lt;&gt;"",timeseries!A15,"")</f>
        <v/>
      </c>
    </row>
    <row r="16" spans="1:5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G26" sqref="G26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100</v>
      </c>
      <c r="B1" s="2" t="s">
        <v>101</v>
      </c>
    </row>
    <row r="2" spans="1:2" x14ac:dyDescent="0.3">
      <c r="A2" t="s">
        <v>102</v>
      </c>
      <c r="B2">
        <v>0.1</v>
      </c>
    </row>
    <row r="3" spans="1:2" x14ac:dyDescent="0.3">
      <c r="A3" t="s">
        <v>103</v>
      </c>
      <c r="B3">
        <v>0.2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2" sqref="B2:B4"/>
    </sheetView>
  </sheetViews>
  <sheetFormatPr defaultRowHeight="14.4" x14ac:dyDescent="0.3"/>
  <sheetData>
    <row r="1" spans="1:2" s="2" customFormat="1" x14ac:dyDescent="0.3">
      <c r="A1" s="2" t="s">
        <v>44</v>
      </c>
      <c r="B1" s="2" t="s">
        <v>45</v>
      </c>
    </row>
    <row r="2" spans="1:2" x14ac:dyDescent="0.3">
      <c r="A2" t="s">
        <v>46</v>
      </c>
      <c r="B2">
        <v>0.3</v>
      </c>
    </row>
    <row r="3" spans="1:2" x14ac:dyDescent="0.3">
      <c r="A3" t="s">
        <v>47</v>
      </c>
      <c r="B3">
        <v>0.5</v>
      </c>
    </row>
    <row r="4" spans="1:2" x14ac:dyDescent="0.3">
      <c r="A4" t="s">
        <v>48</v>
      </c>
      <c r="B4">
        <v>0.2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P25" sqref="P25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30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44671.124999826388</v>
      </c>
    </row>
    <row r="6" spans="1:1" x14ac:dyDescent="0.3">
      <c r="A6" s="4">
        <f>IF(timeseries!A6&lt;&gt;"",timeseries!A6,"")</f>
        <v>44671.166666435187</v>
      </c>
    </row>
    <row r="7" spans="1:1" x14ac:dyDescent="0.3">
      <c r="A7" s="4" t="str">
        <f>IF(timeseries!A7&lt;&gt;"",timeseries!A7,"")</f>
        <v/>
      </c>
    </row>
    <row r="8" spans="1:1" x14ac:dyDescent="0.3">
      <c r="A8" s="4" t="str">
        <f>IF(timeseries!A8&lt;&gt;"",timeseries!A8,"")</f>
        <v/>
      </c>
    </row>
    <row r="9" spans="1:1" x14ac:dyDescent="0.3">
      <c r="A9" s="4" t="str">
        <f>IF(timeseries!A9&lt;&gt;"",timeseries!A9,"")</f>
        <v/>
      </c>
    </row>
    <row r="10" spans="1:1" x14ac:dyDescent="0.3">
      <c r="A10" s="4" t="str">
        <f>IF(timeseries!A10&lt;&gt;"",timeseries!A10,"")</f>
        <v/>
      </c>
    </row>
    <row r="11" spans="1:1" x14ac:dyDescent="0.3">
      <c r="A11" s="4" t="str">
        <f>IF(timeseries!A11&lt;&gt;"",timeseries!A11,"")</f>
        <v/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25"/>
  <sheetViews>
    <sheetView workbookViewId="0">
      <selection activeCell="B5" sqref="B5"/>
    </sheetView>
  </sheetViews>
  <sheetFormatPr defaultRowHeight="14.4" x14ac:dyDescent="0.3"/>
  <cols>
    <col min="1" max="1" width="19.33203125" style="4" customWidth="1"/>
  </cols>
  <sheetData>
    <row r="1" spans="1:4" s="2" customFormat="1" x14ac:dyDescent="0.3">
      <c r="A1" s="2" t="s">
        <v>30</v>
      </c>
      <c r="B1" s="2" t="s">
        <v>68</v>
      </c>
      <c r="C1" s="2" t="s">
        <v>69</v>
      </c>
      <c r="D1" s="2" t="s">
        <v>70</v>
      </c>
    </row>
    <row r="2" spans="1:4" x14ac:dyDescent="0.3">
      <c r="A2" s="4">
        <f>IF(timeseries!A2&lt;&gt;"",timeseries!A2,"")</f>
        <v>44671</v>
      </c>
      <c r="B2">
        <v>3</v>
      </c>
      <c r="C2">
        <v>3</v>
      </c>
      <c r="D2">
        <v>3</v>
      </c>
    </row>
    <row r="3" spans="1:4" x14ac:dyDescent="0.3">
      <c r="A3" s="4">
        <f>IF(timeseries!A3&lt;&gt;"",timeseries!A3,"")</f>
        <v>44671.041666666664</v>
      </c>
      <c r="B3">
        <v>3.5</v>
      </c>
      <c r="C3">
        <v>3.5</v>
      </c>
      <c r="D3">
        <v>3.5</v>
      </c>
    </row>
    <row r="4" spans="1:4" x14ac:dyDescent="0.3">
      <c r="A4" s="4">
        <f>IF(timeseries!A4&lt;&gt;"",timeseries!A4,"")</f>
        <v>44671.08333321759</v>
      </c>
      <c r="B4">
        <v>3.5</v>
      </c>
      <c r="C4">
        <v>3.5</v>
      </c>
      <c r="D4">
        <v>3.5</v>
      </c>
    </row>
    <row r="5" spans="1:4" x14ac:dyDescent="0.3">
      <c r="A5" s="4">
        <f>IF(timeseries!A5&lt;&gt;"",timeseries!A5,"")</f>
        <v>44671.124999826388</v>
      </c>
      <c r="B5">
        <v>3.4</v>
      </c>
      <c r="C5">
        <v>3.4</v>
      </c>
      <c r="D5">
        <v>3.4</v>
      </c>
    </row>
    <row r="6" spans="1:4" x14ac:dyDescent="0.3">
      <c r="A6" s="4">
        <f>IF(timeseries!A6&lt;&gt;"",timeseries!A6,"")</f>
        <v>44671.166666435187</v>
      </c>
      <c r="B6">
        <v>3.3</v>
      </c>
      <c r="C6">
        <v>3.3</v>
      </c>
      <c r="D6">
        <v>3.3</v>
      </c>
    </row>
    <row r="7" spans="1:4" x14ac:dyDescent="0.3">
      <c r="A7" s="4" t="str">
        <f>IF(timeseries!A7&lt;&gt;"",timeseries!A7,"")</f>
        <v/>
      </c>
    </row>
    <row r="8" spans="1:4" x14ac:dyDescent="0.3">
      <c r="A8" s="4" t="str">
        <f>IF(timeseries!A8&lt;&gt;"",timeseries!A8,"")</f>
        <v/>
      </c>
    </row>
    <row r="9" spans="1:4" x14ac:dyDescent="0.3">
      <c r="A9" s="4" t="str">
        <f>IF(timeseries!A9&lt;&gt;"",timeseries!A9,"")</f>
        <v/>
      </c>
    </row>
    <row r="10" spans="1:4" x14ac:dyDescent="0.3">
      <c r="A10" s="4" t="str">
        <f>IF(timeseries!A10&lt;&gt;"",timeseries!A10,"")</f>
        <v/>
      </c>
    </row>
    <row r="11" spans="1:4" x14ac:dyDescent="0.3">
      <c r="A11" s="4" t="str">
        <f>IF(timeseries!A11&lt;&gt;"",timeseries!A11,"")</f>
        <v/>
      </c>
    </row>
    <row r="12" spans="1:4" x14ac:dyDescent="0.3">
      <c r="A12" s="4" t="str">
        <f>IF(timeseries!A12&lt;&gt;"",timeseries!A12,"")</f>
        <v/>
      </c>
    </row>
    <row r="13" spans="1:4" x14ac:dyDescent="0.3">
      <c r="A13" s="4" t="str">
        <f>IF(timeseries!A13&lt;&gt;"",timeseries!A13,"")</f>
        <v/>
      </c>
    </row>
    <row r="14" spans="1:4" x14ac:dyDescent="0.3">
      <c r="A14" s="4" t="str">
        <f>IF(timeseries!A14&lt;&gt;"",timeseries!A14,"")</f>
        <v/>
      </c>
    </row>
    <row r="15" spans="1:4" x14ac:dyDescent="0.3">
      <c r="A15" s="4" t="str">
        <f>IF(timeseries!A15&lt;&gt;"",timeseries!A15,"")</f>
        <v/>
      </c>
    </row>
    <row r="16" spans="1:4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C1" sqref="C1:D2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44</v>
      </c>
      <c r="B1" t="s">
        <v>106</v>
      </c>
      <c r="C1" t="s">
        <v>124</v>
      </c>
      <c r="D1" t="s">
        <v>125</v>
      </c>
    </row>
    <row r="2" spans="1:13" x14ac:dyDescent="0.3">
      <c r="A2" t="s">
        <v>84</v>
      </c>
      <c r="B2" t="s">
        <v>85</v>
      </c>
      <c r="C2">
        <v>0</v>
      </c>
      <c r="D2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J25"/>
  <sheetViews>
    <sheetView workbookViewId="0">
      <selection activeCell="B7" sqref="B7"/>
    </sheetView>
  </sheetViews>
  <sheetFormatPr defaultRowHeight="14.4" x14ac:dyDescent="0.3"/>
  <cols>
    <col min="1" max="1" width="19.33203125" style="4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10" x14ac:dyDescent="0.3">
      <c r="A1" s="2" t="s">
        <v>30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</row>
    <row r="2" spans="1:10" x14ac:dyDescent="0.3">
      <c r="A2" s="4">
        <f>IF(timeseries!A2&lt;&gt;"",timeseries!A2,"")</f>
        <v>44671</v>
      </c>
      <c r="B2">
        <v>1</v>
      </c>
      <c r="C2">
        <v>1</v>
      </c>
      <c r="D2">
        <v>1</v>
      </c>
      <c r="E2">
        <v>-0.8</v>
      </c>
      <c r="F2">
        <v>-0.8</v>
      </c>
      <c r="G2">
        <v>-0.8</v>
      </c>
      <c r="H2">
        <v>0</v>
      </c>
      <c r="I2">
        <v>0</v>
      </c>
      <c r="J2">
        <v>0</v>
      </c>
    </row>
    <row r="3" spans="1:10" x14ac:dyDescent="0.3">
      <c r="A3" s="4">
        <f>IF(timeseries!A3&lt;&gt;"",timeseries!A3,"")</f>
        <v>44671.041666666664</v>
      </c>
      <c r="B3">
        <v>1</v>
      </c>
      <c r="C3">
        <v>1</v>
      </c>
      <c r="D3">
        <v>1</v>
      </c>
      <c r="E3">
        <v>-0.8</v>
      </c>
      <c r="F3">
        <v>-0.8</v>
      </c>
      <c r="G3">
        <v>-0.8</v>
      </c>
      <c r="H3">
        <v>0</v>
      </c>
      <c r="I3">
        <v>0</v>
      </c>
      <c r="J3">
        <v>0</v>
      </c>
    </row>
    <row r="4" spans="1:10" x14ac:dyDescent="0.3">
      <c r="A4" s="4">
        <f>IF(timeseries!A4&lt;&gt;"",timeseries!A4,"")</f>
        <v>44671.08333321759</v>
      </c>
      <c r="B4">
        <v>1</v>
      </c>
      <c r="C4">
        <v>1</v>
      </c>
      <c r="D4">
        <v>1</v>
      </c>
      <c r="E4">
        <v>-0.8</v>
      </c>
      <c r="F4">
        <v>-0.8</v>
      </c>
      <c r="G4">
        <v>-0.8</v>
      </c>
      <c r="H4">
        <v>0</v>
      </c>
      <c r="I4">
        <v>0</v>
      </c>
      <c r="J4">
        <v>0</v>
      </c>
    </row>
    <row r="5" spans="1:10" x14ac:dyDescent="0.3">
      <c r="A5" s="4">
        <f>IF(timeseries!A5&lt;&gt;"",timeseries!A5,"")</f>
        <v>44671.124999826388</v>
      </c>
      <c r="B5">
        <v>1</v>
      </c>
      <c r="C5">
        <v>1</v>
      </c>
      <c r="D5">
        <v>1</v>
      </c>
      <c r="E5">
        <v>-0.8</v>
      </c>
      <c r="F5">
        <v>-0.8</v>
      </c>
      <c r="G5">
        <v>-0.8</v>
      </c>
      <c r="H5">
        <v>0</v>
      </c>
      <c r="I5">
        <v>0</v>
      </c>
      <c r="J5">
        <v>0</v>
      </c>
    </row>
    <row r="6" spans="1:10" x14ac:dyDescent="0.3">
      <c r="A6" s="4">
        <f>IF(timeseries!A6&lt;&gt;"",timeseries!A6,"")</f>
        <v>44671.166666435187</v>
      </c>
      <c r="B6">
        <v>1</v>
      </c>
      <c r="C6">
        <v>1</v>
      </c>
      <c r="D6">
        <v>1</v>
      </c>
      <c r="E6">
        <v>-0.8</v>
      </c>
      <c r="F6">
        <v>-0.8</v>
      </c>
      <c r="G6">
        <v>-0.8</v>
      </c>
      <c r="H6">
        <v>0</v>
      </c>
      <c r="I6">
        <v>0</v>
      </c>
      <c r="J6">
        <v>0</v>
      </c>
    </row>
    <row r="7" spans="1:10" x14ac:dyDescent="0.3">
      <c r="A7" s="4" t="str">
        <f>IF(timeseries!A7&lt;&gt;"",timeseries!A7,"")</f>
        <v/>
      </c>
    </row>
    <row r="8" spans="1:10" x14ac:dyDescent="0.3">
      <c r="A8" s="4" t="str">
        <f>IF(timeseries!A8&lt;&gt;"",timeseries!A8,"")</f>
        <v/>
      </c>
    </row>
    <row r="9" spans="1:10" x14ac:dyDescent="0.3">
      <c r="A9" s="4" t="str">
        <f>IF(timeseries!A9&lt;&gt;"",timeseries!A9,"")</f>
        <v/>
      </c>
    </row>
    <row r="10" spans="1:10" x14ac:dyDescent="0.3">
      <c r="A10" s="4" t="str">
        <f>IF(timeseries!A10&lt;&gt;"",timeseries!A10,"")</f>
        <v/>
      </c>
    </row>
    <row r="11" spans="1:10" x14ac:dyDescent="0.3">
      <c r="A11" s="4" t="str">
        <f>IF(timeseries!A11&lt;&gt;"",timeseries!A11,"")</f>
        <v/>
      </c>
    </row>
    <row r="12" spans="1:10" x14ac:dyDescent="0.3">
      <c r="A12" s="4" t="str">
        <f>IF(timeseries!A12&lt;&gt;"",timeseries!A12,"")</f>
        <v/>
      </c>
    </row>
    <row r="13" spans="1:10" x14ac:dyDescent="0.3">
      <c r="A13" s="4" t="str">
        <f>IF(timeseries!A13&lt;&gt;"",timeseries!A13,"")</f>
        <v/>
      </c>
    </row>
    <row r="14" spans="1:10" x14ac:dyDescent="0.3">
      <c r="A14" s="4" t="str">
        <f>IF(timeseries!A14&lt;&gt;"",timeseries!A14,"")</f>
        <v/>
      </c>
    </row>
    <row r="15" spans="1:10" x14ac:dyDescent="0.3">
      <c r="A15" s="4" t="str">
        <f>IF(timeseries!A15&lt;&gt;"",timeseries!A15,"")</f>
        <v/>
      </c>
    </row>
    <row r="16" spans="1:10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25"/>
  <sheetViews>
    <sheetView workbookViewId="0">
      <selection activeCell="I12" sqref="I12"/>
    </sheetView>
  </sheetViews>
  <sheetFormatPr defaultRowHeight="14.4" x14ac:dyDescent="0.3"/>
  <cols>
    <col min="1" max="1" width="19.33203125" style="4" customWidth="1"/>
  </cols>
  <sheetData>
    <row r="1" spans="1:4" x14ac:dyDescent="0.3">
      <c r="A1" s="2" t="s">
        <v>30</v>
      </c>
      <c r="B1" t="s">
        <v>96</v>
      </c>
      <c r="C1" t="s">
        <v>97</v>
      </c>
      <c r="D1" t="s">
        <v>98</v>
      </c>
    </row>
    <row r="2" spans="1:4" x14ac:dyDescent="0.3">
      <c r="A2" s="4">
        <f>IF(timeseries!A2&lt;&gt;"",timeseries!A2,"")</f>
        <v>44671</v>
      </c>
      <c r="B2">
        <v>5</v>
      </c>
      <c r="C2">
        <v>5</v>
      </c>
      <c r="D2">
        <v>5</v>
      </c>
    </row>
    <row r="3" spans="1:4" x14ac:dyDescent="0.3">
      <c r="A3" s="4">
        <f>IF(timeseries!A3&lt;&gt;"",timeseries!A3,"")</f>
        <v>44671.041666666664</v>
      </c>
      <c r="B3">
        <v>4.2857142857142856</v>
      </c>
      <c r="C3">
        <v>4.2857142857142856</v>
      </c>
      <c r="D3">
        <v>4.2857142857142856</v>
      </c>
    </row>
    <row r="4" spans="1:4" x14ac:dyDescent="0.3">
      <c r="A4" s="4">
        <f>IF(timeseries!A4&lt;&gt;"",timeseries!A4,"")</f>
        <v>44671.08333321759</v>
      </c>
      <c r="B4">
        <v>4.2857142857142856</v>
      </c>
      <c r="C4">
        <v>4.2857142857142856</v>
      </c>
      <c r="D4">
        <v>4.2857142857142856</v>
      </c>
    </row>
    <row r="5" spans="1:4" x14ac:dyDescent="0.3">
      <c r="A5" s="4">
        <f>IF(timeseries!A5&lt;&gt;"",timeseries!A5,"")</f>
        <v>44671.124999826388</v>
      </c>
      <c r="B5">
        <v>4.4117647058823533</v>
      </c>
      <c r="C5">
        <v>4.4117647058823533</v>
      </c>
      <c r="D5">
        <v>4.4117647058823533</v>
      </c>
    </row>
    <row r="6" spans="1:4" x14ac:dyDescent="0.3">
      <c r="A6" s="4">
        <f>IF(timeseries!A6&lt;&gt;"",timeseries!A6,"")</f>
        <v>44671.166666435187</v>
      </c>
      <c r="B6">
        <v>4.5454545454545459</v>
      </c>
      <c r="C6">
        <v>4.5454545454545459</v>
      </c>
      <c r="D6">
        <v>4.5454545454545459</v>
      </c>
    </row>
    <row r="7" spans="1:4" x14ac:dyDescent="0.3">
      <c r="A7" s="4" t="str">
        <f>IF(timeseries!A7&lt;&gt;"",timeseries!A7,"")</f>
        <v/>
      </c>
    </row>
    <row r="8" spans="1:4" x14ac:dyDescent="0.3">
      <c r="A8" s="4" t="str">
        <f>IF(timeseries!A8&lt;&gt;"",timeseries!A8,"")</f>
        <v/>
      </c>
    </row>
    <row r="9" spans="1:4" x14ac:dyDescent="0.3">
      <c r="A9" s="4" t="str">
        <f>IF(timeseries!A9&lt;&gt;"",timeseries!A9,"")</f>
        <v/>
      </c>
    </row>
    <row r="10" spans="1:4" x14ac:dyDescent="0.3">
      <c r="A10" s="4" t="str">
        <f>IF(timeseries!A10&lt;&gt;"",timeseries!A10,"")</f>
        <v/>
      </c>
    </row>
    <row r="11" spans="1:4" x14ac:dyDescent="0.3">
      <c r="A11" s="4" t="str">
        <f>IF(timeseries!A11&lt;&gt;"",timeseries!A11,"")</f>
        <v/>
      </c>
    </row>
    <row r="12" spans="1:4" x14ac:dyDescent="0.3">
      <c r="A12" s="4" t="str">
        <f>IF(timeseries!A12&lt;&gt;"",timeseries!A12,"")</f>
        <v/>
      </c>
    </row>
    <row r="13" spans="1:4" x14ac:dyDescent="0.3">
      <c r="A13" s="4" t="str">
        <f>IF(timeseries!A13&lt;&gt;"",timeseries!A13,"")</f>
        <v/>
      </c>
    </row>
    <row r="14" spans="1:4" x14ac:dyDescent="0.3">
      <c r="A14" s="4" t="str">
        <f>IF(timeseries!A14&lt;&gt;"",timeseries!A14,"")</f>
        <v/>
      </c>
    </row>
    <row r="15" spans="1:4" x14ac:dyDescent="0.3">
      <c r="A15" s="4" t="str">
        <f>IF(timeseries!A15&lt;&gt;"",timeseries!A15,"")</f>
        <v/>
      </c>
    </row>
    <row r="16" spans="1:4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reserve_realisation</vt:lpstr>
      <vt:lpstr>bid_slots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2025-04-15T05:04:49Z</dcterms:modified>
</cp:coreProperties>
</file>