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875C6106-C7F4-4E05-8F06-BD80D595D7E2}" xr6:coauthVersionLast="47" xr6:coauthVersionMax="47" xr10:uidLastSave="{00000000-0000-0000-0000-000000000000}"/>
  <bookViews>
    <workbookView xWindow="-108" yWindow="-108" windowWidth="23256" windowHeight="12576" tabRatio="796" firstSheet="4" activeTab="14" xr2:uid="{788BFBD1-D930-4535-8A91-D85C56924796}"/>
  </bookViews>
  <sheets>
    <sheet name="timeseries" sheetId="18" r:id="rId1"/>
    <sheet name="setup" sheetId="26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5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29" r:id="rId15"/>
    <sheet name="price" sheetId="4" r:id="rId16"/>
    <sheet name="markets" sheetId="5" r:id="rId17"/>
    <sheet name="reserve_realisation" sheetId="23" r:id="rId18"/>
    <sheet name="market_prices" sheetId="8" r:id="rId19"/>
    <sheet name="balance_prices" sheetId="20" r:id="rId20"/>
    <sheet name="reserve_activation_price" sheetId="27" r:id="rId21"/>
    <sheet name="bid_slots" sheetId="28" r:id="rId22"/>
    <sheet name="risk" sheetId="17" r:id="rId23"/>
    <sheet name="scenarios" sheetId="9" r:id="rId24"/>
    <sheet name="fixed_ts" sheetId="11" r:id="rId25"/>
    <sheet name="eff_ts" sheetId="12" r:id="rId26"/>
    <sheet name="constraints" sheetId="14" r:id="rId27"/>
    <sheet name="gen_constraint" sheetId="15" r:id="rId28"/>
    <sheet name="cap_ts" sheetId="1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5" i="24" l="1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25" i="28" l="1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25" i="27" l="1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25" i="23" l="1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C3" i="3" l="1"/>
  <c r="C2" i="3"/>
  <c r="A6" i="3"/>
  <c r="A7" i="3"/>
  <c r="A8" i="3"/>
  <c r="A9" i="3"/>
  <c r="A10" i="3"/>
  <c r="A11" i="3"/>
  <c r="A12" i="3"/>
  <c r="A13" i="3"/>
  <c r="A5" i="3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4" i="20"/>
  <c r="A3" i="20"/>
  <c r="A2" i="20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6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6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6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6" i="11"/>
  <c r="A4" i="11"/>
  <c r="A3" i="11"/>
  <c r="A2" i="11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6" i="8"/>
  <c r="A4" i="8"/>
  <c r="A3" i="8"/>
  <c r="A2" i="8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6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6" i="7"/>
  <c r="A4" i="7"/>
  <c r="A3" i="7"/>
  <c r="A2" i="7"/>
  <c r="D1" i="10"/>
  <c r="E1" i="10" s="1"/>
  <c r="F1" i="10" s="1"/>
  <c r="G1" i="10" s="1"/>
  <c r="H1" i="10" s="1"/>
  <c r="I1" i="10" s="1"/>
  <c r="J1" i="10" s="1"/>
  <c r="K1" i="10" s="1"/>
  <c r="C1" i="10"/>
  <c r="A7" i="20" l="1"/>
  <c r="A7" i="12"/>
  <c r="A7" i="4"/>
  <c r="A7" i="8"/>
  <c r="A7" i="11"/>
  <c r="A7" i="16"/>
  <c r="A7" i="15"/>
  <c r="A7" i="7"/>
  <c r="A6" i="20"/>
  <c r="A5" i="7"/>
  <c r="A5" i="4"/>
  <c r="A5" i="8"/>
  <c r="A5" i="11"/>
  <c r="A5" i="12"/>
  <c r="A5" i="15"/>
  <c r="A5" i="16"/>
  <c r="A5" i="20"/>
  <c r="A8" i="7" l="1"/>
  <c r="A8" i="4"/>
  <c r="A8" i="20"/>
  <c r="A8" i="8"/>
  <c r="A8" i="11"/>
  <c r="A8" i="12"/>
  <c r="A8" i="15"/>
  <c r="A8" i="16"/>
</calcChain>
</file>

<file path=xl/sharedStrings.xml><?xml version="1.0" encoding="utf-8"?>
<sst xmlns="http://schemas.openxmlformats.org/spreadsheetml/2006/main" count="141" uniqueCount="104">
  <si>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</si>
  <si>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</si>
  <si>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</si>
  <si>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</si>
  <si>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</si>
  <si>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</si>
  <si>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</si>
  <si>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</si>
  <si>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is_inflow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</si>
  <si>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</si>
  <si>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</si>
  <si>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</si>
  <si>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</si>
  <si>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</si>
  <si>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</si>
  <si>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</si>
  <si>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</si>
  <si>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</si>
  <si>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</si>
  <si>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source</t>
  </si>
  <si>
    <t>source_sink</t>
  </si>
  <si>
    <t>sink</t>
  </si>
  <si>
    <t>t</t>
  </si>
  <si>
    <t>market</t>
  </si>
  <si>
    <t>is_res</t>
  </si>
  <si>
    <t>conversion_coeff</t>
  </si>
  <si>
    <t>dh2</t>
  </si>
  <si>
    <t>direction</t>
  </si>
  <si>
    <t>name</t>
  </si>
  <si>
    <t>propability</t>
  </si>
  <si>
    <t>s1</t>
  </si>
  <si>
    <t>start_cost</t>
  </si>
  <si>
    <t>min_online</t>
  </si>
  <si>
    <t>min_offline</t>
  </si>
  <si>
    <t>ramp_factor</t>
  </si>
  <si>
    <t>reserve_type</t>
  </si>
  <si>
    <t>is_cf_fix</t>
  </si>
  <si>
    <t>initial_state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</si>
  <si>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</si>
  <si>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</si>
  <si>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</si>
  <si>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</si>
  <si>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</si>
  <si>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</si>
  <si>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</si>
  <si>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</si>
  <si>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ng, ALL</t>
  </si>
  <si>
    <t>residual_value</t>
  </si>
  <si>
    <t>max_online</t>
  </si>
  <si>
    <t>max_offline</t>
  </si>
  <si>
    <t>entity</t>
  </si>
  <si>
    <t>group</t>
  </si>
  <si>
    <t>is_limited</t>
  </si>
  <si>
    <t>fee</t>
  </si>
  <si>
    <t>min_bid</t>
  </si>
  <si>
    <t>max_bid</t>
  </si>
  <si>
    <t>is_setpoint</t>
  </si>
  <si>
    <t>penalty</t>
  </si>
  <si>
    <t>processgroup</t>
  </si>
  <si>
    <t>node1</t>
  </si>
  <si>
    <t>node2</t>
  </si>
  <si>
    <t>state_min</t>
  </si>
  <si>
    <t>is_temp</t>
  </si>
  <si>
    <t>delay_t</t>
  </si>
  <si>
    <t>min_flow</t>
  </si>
  <si>
    <t>max_flow</t>
  </si>
  <si>
    <t>dh1</t>
  </si>
  <si>
    <t>p1</t>
  </si>
  <si>
    <t>elc</t>
  </si>
  <si>
    <t>ngchp1</t>
  </si>
  <si>
    <t>energy</t>
  </si>
  <si>
    <t>none</t>
  </si>
  <si>
    <t>npe</t>
  </si>
  <si>
    <t>npe,s1</t>
  </si>
  <si>
    <t>npe,up,s1</t>
  </si>
  <si>
    <t>dh1, s1</t>
  </si>
  <si>
    <t>dh2, s1</t>
  </si>
  <si>
    <t>npe,dw,s1</t>
  </si>
  <si>
    <t>dh2,t,s1</t>
  </si>
  <si>
    <t>dh2,s1</t>
  </si>
  <si>
    <t>use_market_bids</t>
  </si>
  <si>
    <t>use_reserves</t>
  </si>
  <si>
    <t>use_reserve_realisation</t>
  </si>
  <si>
    <t>use_node_dummy_variables</t>
  </si>
  <si>
    <t>use_ramp_dummy_variables</t>
  </si>
  <si>
    <t>common_scenario_name</t>
  </si>
  <si>
    <t>scenario_independent_state</t>
  </si>
  <si>
    <t>scenario_independent_online</t>
  </si>
  <si>
    <t>initial_load</t>
  </si>
  <si>
    <t>initial_flow</t>
  </si>
  <si>
    <t>node_dummy_variable_cost</t>
  </si>
  <si>
    <t>ramp_dummy_variable_cost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</si>
  <si>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</si>
  <si>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</si>
  <si>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</si>
  <si>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</si>
  <si>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</si>
  <si>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</si>
  <si>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</si>
  <si>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</si>
  <si>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</si>
  <si>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</si>
  <si>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</si>
  <si>
    <t>deviation_penalty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</si>
</sst>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>
      <selection activeCell="A2" sqref="A2:A3"/>
    </sheetView>
  </sheetViews>
  <sheetFormatPr defaultRowHeight="14.4" x14ac:dyDescent="0.3"/>
  <cols>
    <col min="1" max="1" width="14.33203125" bestFit="1" customWidth="1"/>
  </cols>
  <sheetData>
    <row r="1" spans="1:1" x14ac:dyDescent="0.3">
      <c r="A1" t="s">
        <v>22</v>
      </c>
    </row>
    <row r="2" spans="1:1" x14ac:dyDescent="0.3">
      <c r="A2" s="4">
        <v>44671</v>
      </c>
    </row>
    <row r="3" spans="1:1" x14ac:dyDescent="0.3">
      <c r="A3" s="4">
        <v>44671.041666666664</v>
      </c>
    </row>
    <row r="4" spans="1:1" x14ac:dyDescent="0.3">
      <c r="A4" s="4">
        <v>44671.08333321759</v>
      </c>
    </row>
    <row r="5" spans="1:1" x14ac:dyDescent="0.3">
      <c r="A5" s="4">
        <v>44671.124999884254</v>
      </c>
    </row>
    <row r="6" spans="1:1" x14ac:dyDescent="0.3">
      <c r="A6" s="4">
        <v>44671.166666550918</v>
      </c>
    </row>
    <row r="7" spans="1:1" x14ac:dyDescent="0.3">
      <c r="A7" s="4">
        <v>44671.208333217583</v>
      </c>
    </row>
    <row r="8" spans="1:1" x14ac:dyDescent="0.3">
      <c r="A8" s="4">
        <v>44671.249999884247</v>
      </c>
    </row>
    <row r="9" spans="1:1" x14ac:dyDescent="0.3">
      <c r="A9" s="4"/>
    </row>
    <row r="10" spans="1:1" x14ac:dyDescent="0.3">
      <c r="A10" s="4"/>
    </row>
    <row r="11" spans="1:1" x14ac:dyDescent="0.3">
      <c r="A11" s="4"/>
    </row>
    <row r="12" spans="1:1" x14ac:dyDescent="0.3">
      <c r="A12" s="4"/>
    </row>
    <row r="13" spans="1:1" x14ac:dyDescent="0.3">
      <c r="A13" s="4"/>
    </row>
    <row r="14" spans="1:1" x14ac:dyDescent="0.3">
      <c r="A14" s="4"/>
    </row>
    <row r="15" spans="1:1" x14ac:dyDescent="0.3">
      <c r="A15" s="4"/>
    </row>
    <row r="16" spans="1:1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DC58-DC7E-47B9-9ADD-41CCB9B3E5A5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5.88671875" bestFit="1" customWidth="1"/>
  </cols>
  <sheetData>
    <row r="1" spans="1:2" x14ac:dyDescent="0.3">
      <c r="A1" s="2" t="s">
        <v>39</v>
      </c>
      <c r="B1" s="2" t="s">
        <v>40</v>
      </c>
    </row>
    <row r="2" spans="1:2" x14ac:dyDescent="0.3">
      <c r="A2" t="s">
        <v>80</v>
      </c>
      <c r="B2">
        <v>1</v>
      </c>
    </row>
    <row r="3" spans="1:2" x14ac:dyDescent="0.3">
      <c r="A3" t="s">
        <v>81</v>
      </c>
      <c r="B3">
        <v>1</v>
      </c>
    </row>
    <row r="4" spans="1:2" x14ac:dyDescent="0.3">
      <c r="A4" t="s">
        <v>82</v>
      </c>
      <c r="B4">
        <v>1</v>
      </c>
    </row>
    <row r="5" spans="1:2" x14ac:dyDescent="0.3">
      <c r="A5" t="s">
        <v>83</v>
      </c>
      <c r="B5">
        <v>1</v>
      </c>
    </row>
    <row r="6" spans="1:2" x14ac:dyDescent="0.3">
      <c r="A6" t="s">
        <v>84</v>
      </c>
      <c r="B6">
        <v>1</v>
      </c>
    </row>
    <row r="7" spans="1:2" x14ac:dyDescent="0.3">
      <c r="A7" t="s">
        <v>90</v>
      </c>
      <c r="B7">
        <v>10000</v>
      </c>
    </row>
    <row r="8" spans="1:2" x14ac:dyDescent="0.3">
      <c r="A8" t="s">
        <v>91</v>
      </c>
      <c r="B8">
        <v>10000</v>
      </c>
    </row>
    <row r="9" spans="1:2" x14ac:dyDescent="0.3">
      <c r="A9" t="s">
        <v>96</v>
      </c>
      <c r="B9">
        <v>0</v>
      </c>
    </row>
    <row r="10" spans="1:2" x14ac:dyDescent="0.3">
      <c r="A10" t="s">
        <v>97</v>
      </c>
      <c r="B10">
        <v>0</v>
      </c>
    </row>
    <row r="11" spans="1:2" x14ac:dyDescent="0.3">
      <c r="A11" t="s">
        <v>85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6"/>
  <sheetViews>
    <sheetView workbookViewId="0">
      <selection activeCell="O2" sqref="O2"/>
    </sheetView>
  </sheetViews>
  <sheetFormatPr defaultRowHeight="14.4" x14ac:dyDescent="0.3"/>
  <cols>
    <col min="1" max="1" width="5.554687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24</v>
      </c>
      <c r="E1" s="2" t="s">
        <v>6</v>
      </c>
      <c r="F1" s="2" t="s">
        <v>8</v>
      </c>
      <c r="G1" s="2" t="s">
        <v>3</v>
      </c>
      <c r="H1" s="2" t="s">
        <v>61</v>
      </c>
      <c r="I1" s="2" t="s">
        <v>4</v>
      </c>
      <c r="J1" s="2" t="s">
        <v>5</v>
      </c>
      <c r="K1" s="2" t="s">
        <v>37</v>
      </c>
      <c r="L1" s="2" t="s">
        <v>44</v>
      </c>
      <c r="M1" s="2" t="s">
        <v>86</v>
      </c>
      <c r="N1" s="2" t="s">
        <v>62</v>
      </c>
      <c r="O1" s="2" t="s">
        <v>93</v>
      </c>
      <c r="P1" s="2" t="s">
        <v>47</v>
      </c>
    </row>
    <row r="2" spans="1:16" x14ac:dyDescent="0.3">
      <c r="A2" t="s">
        <v>7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0</v>
      </c>
    </row>
    <row r="3" spans="1:16" x14ac:dyDescent="0.3">
      <c r="A3" t="s">
        <v>66</v>
      </c>
      <c r="B3" s="3">
        <v>0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</row>
    <row r="4" spans="1:16" x14ac:dyDescent="0.3">
      <c r="A4" t="s">
        <v>26</v>
      </c>
      <c r="B4" s="3">
        <v>0</v>
      </c>
      <c r="C4" s="3">
        <v>0</v>
      </c>
      <c r="D4" s="3">
        <v>0</v>
      </c>
      <c r="E4" s="3">
        <v>0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1</v>
      </c>
      <c r="P4" s="3">
        <v>0</v>
      </c>
    </row>
    <row r="5" spans="1:16" x14ac:dyDescent="0.3">
      <c r="A5" t="s">
        <v>68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</row>
    <row r="6" spans="1:16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8"/>
  <sheetViews>
    <sheetView workbookViewId="0">
      <selection activeCell="N11" sqref="N11"/>
    </sheetView>
  </sheetViews>
  <sheetFormatPr defaultRowHeight="14.4" x14ac:dyDescent="0.3"/>
  <cols>
    <col min="1" max="1" width="12.6640625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2" customFormat="1" x14ac:dyDescent="0.3">
      <c r="A1" s="2" t="s">
        <v>9</v>
      </c>
      <c r="B1" s="2" t="s">
        <v>10</v>
      </c>
      <c r="C1" s="2" t="s">
        <v>36</v>
      </c>
      <c r="D1" s="2" t="s">
        <v>11</v>
      </c>
      <c r="E1" s="2" t="s">
        <v>24</v>
      </c>
      <c r="F1" s="2" t="s">
        <v>14</v>
      </c>
      <c r="G1" s="2" t="s">
        <v>13</v>
      </c>
      <c r="H1" s="2" t="s">
        <v>16</v>
      </c>
      <c r="I1" s="2" t="s">
        <v>15</v>
      </c>
      <c r="J1" s="2" t="s">
        <v>31</v>
      </c>
      <c r="K1" s="2" t="s">
        <v>32</v>
      </c>
      <c r="L1" s="2" t="s">
        <v>33</v>
      </c>
      <c r="M1" s="2" t="s">
        <v>48</v>
      </c>
      <c r="N1" s="2" t="s">
        <v>49</v>
      </c>
      <c r="O1" s="2" t="s">
        <v>37</v>
      </c>
      <c r="P1" s="2" t="s">
        <v>87</v>
      </c>
      <c r="Q1" s="2" t="s">
        <v>38</v>
      </c>
    </row>
    <row r="2" spans="1:17" x14ac:dyDescent="0.3">
      <c r="A2" t="s">
        <v>69</v>
      </c>
      <c r="B2" s="3">
        <v>0</v>
      </c>
      <c r="C2" s="3">
        <v>0</v>
      </c>
      <c r="D2" s="3">
        <v>0</v>
      </c>
      <c r="E2" s="3">
        <v>0</v>
      </c>
      <c r="F2" s="3">
        <v>1</v>
      </c>
      <c r="G2" s="3">
        <v>0.9</v>
      </c>
      <c r="H2" s="3">
        <v>0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</row>
    <row r="3" spans="1:17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3A-95ED-43FB-AC05-C8A15D3323E5}">
  <dimension ref="A1:C2"/>
  <sheetViews>
    <sheetView zoomScaleNormal="100" workbookViewId="0">
      <selection activeCell="A2" sqref="A2"/>
    </sheetView>
  </sheetViews>
  <sheetFormatPr defaultRowHeight="14.4" x14ac:dyDescent="0.3"/>
  <sheetData>
    <row r="1" spans="1:3" x14ac:dyDescent="0.3">
      <c r="A1" s="2" t="s">
        <v>95</v>
      </c>
      <c r="B1" s="2" t="s">
        <v>50</v>
      </c>
      <c r="C1" s="2" t="s">
        <v>51</v>
      </c>
    </row>
    <row r="2" spans="1:3" x14ac:dyDescent="0.3">
      <c r="A2" t="s">
        <v>9</v>
      </c>
      <c r="B2" t="s">
        <v>69</v>
      </c>
      <c r="C2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1"/>
  <sheetViews>
    <sheetView workbookViewId="0">
      <selection activeCell="H26" sqref="H26"/>
    </sheetView>
  </sheetViews>
  <sheetFormatPr defaultRowHeight="14.4" x14ac:dyDescent="0.3"/>
  <sheetData>
    <row r="1" spans="1:11" s="2" customFormat="1" x14ac:dyDescent="0.3">
      <c r="A1" s="2" t="s">
        <v>9</v>
      </c>
      <c r="B1" s="2">
        <v>1</v>
      </c>
      <c r="C1" s="2">
        <f>B1+1</f>
        <v>2</v>
      </c>
      <c r="D1" s="2">
        <f t="shared" ref="D1:K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3"/>
  <sheetViews>
    <sheetView workbookViewId="0">
      <selection activeCell="F2" sqref="F2"/>
    </sheetView>
  </sheetViews>
  <sheetFormatPr defaultColWidth="9.109375" defaultRowHeight="14.4" x14ac:dyDescent="0.3"/>
  <cols>
    <col min="1" max="1" width="7.664062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2" customFormat="1" x14ac:dyDescent="0.3">
      <c r="A1" s="2" t="s">
        <v>9</v>
      </c>
      <c r="B1" s="2" t="s">
        <v>20</v>
      </c>
      <c r="C1" s="2" t="s">
        <v>0</v>
      </c>
      <c r="D1" s="2" t="s">
        <v>25</v>
      </c>
      <c r="E1" s="2" t="s">
        <v>12</v>
      </c>
      <c r="F1" s="2" t="s">
        <v>92</v>
      </c>
      <c r="G1" s="2" t="s">
        <v>18</v>
      </c>
      <c r="H1" s="2" t="s">
        <v>17</v>
      </c>
      <c r="I1" s="2" t="s">
        <v>88</v>
      </c>
      <c r="J1" s="2" t="s">
        <v>89</v>
      </c>
    </row>
    <row r="2" spans="1:10" x14ac:dyDescent="0.3">
      <c r="A2" t="s">
        <v>69</v>
      </c>
      <c r="B2" t="s">
        <v>19</v>
      </c>
      <c r="C2" t="s">
        <v>7</v>
      </c>
      <c r="D2">
        <v>1</v>
      </c>
      <c r="E2">
        <v>20</v>
      </c>
      <c r="F2">
        <v>0</v>
      </c>
      <c r="G2">
        <v>1</v>
      </c>
      <c r="H2">
        <v>1</v>
      </c>
      <c r="I2">
        <v>0.7</v>
      </c>
      <c r="J2">
        <v>0.7</v>
      </c>
    </row>
    <row r="3" spans="1:10" x14ac:dyDescent="0.3">
      <c r="A3" t="s">
        <v>69</v>
      </c>
      <c r="B3" t="s">
        <v>21</v>
      </c>
      <c r="C3" t="s">
        <v>66</v>
      </c>
      <c r="D3">
        <v>1</v>
      </c>
      <c r="E3">
        <v>18</v>
      </c>
      <c r="F3">
        <v>0</v>
      </c>
      <c r="G3">
        <v>1</v>
      </c>
      <c r="H3">
        <v>1</v>
      </c>
      <c r="I3">
        <v>0.7</v>
      </c>
      <c r="J3">
        <v>0.7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G21"/>
  <sheetViews>
    <sheetView workbookViewId="0">
      <selection activeCell="F8" sqref="F8"/>
    </sheetView>
  </sheetViews>
  <sheetFormatPr defaultRowHeight="14.4" x14ac:dyDescent="0.3"/>
  <cols>
    <col min="1" max="1" width="19.33203125" style="6" customWidth="1"/>
    <col min="2" max="2" width="15.88671875" style="7" customWidth="1"/>
    <col min="7" max="7" width="13.33203125" bestFit="1" customWidth="1"/>
    <col min="8" max="8" width="13.33203125" customWidth="1"/>
    <col min="9" max="9" width="12.109375" customWidth="1"/>
    <col min="10" max="10" width="16.109375" customWidth="1"/>
    <col min="12" max="12" width="16.5546875" customWidth="1"/>
  </cols>
  <sheetData>
    <row r="1" spans="1:7" x14ac:dyDescent="0.3">
      <c r="A1" s="5" t="s">
        <v>22</v>
      </c>
      <c r="B1" s="7" t="s">
        <v>78</v>
      </c>
      <c r="C1" t="s">
        <v>79</v>
      </c>
    </row>
    <row r="2" spans="1:7" x14ac:dyDescent="0.3">
      <c r="A2" s="6">
        <v>1</v>
      </c>
      <c r="B2" s="4">
        <v>44671</v>
      </c>
      <c r="C2">
        <v>3</v>
      </c>
    </row>
    <row r="3" spans="1:7" x14ac:dyDescent="0.3">
      <c r="A3" s="6">
        <v>2</v>
      </c>
      <c r="B3" s="4">
        <v>44671.041666666664</v>
      </c>
      <c r="C3">
        <v>4</v>
      </c>
    </row>
    <row r="4" spans="1:7" x14ac:dyDescent="0.3">
      <c r="A4" s="6">
        <v>3</v>
      </c>
    </row>
    <row r="5" spans="1:7" x14ac:dyDescent="0.3">
      <c r="A5" s="6">
        <v>4</v>
      </c>
    </row>
    <row r="6" spans="1:7" x14ac:dyDescent="0.3">
      <c r="A6" s="6">
        <v>5</v>
      </c>
    </row>
    <row r="7" spans="1:7" x14ac:dyDescent="0.3">
      <c r="A7" s="6">
        <v>6</v>
      </c>
      <c r="G7" s="7"/>
    </row>
    <row r="8" spans="1:7" x14ac:dyDescent="0.3">
      <c r="A8" s="6">
        <v>7</v>
      </c>
      <c r="G8" s="7"/>
    </row>
    <row r="9" spans="1:7" x14ac:dyDescent="0.3">
      <c r="A9" s="6">
        <v>8</v>
      </c>
      <c r="G9" s="7"/>
    </row>
    <row r="10" spans="1:7" x14ac:dyDescent="0.3">
      <c r="A10" s="6">
        <v>9</v>
      </c>
      <c r="G10" s="7"/>
    </row>
    <row r="11" spans="1:7" x14ac:dyDescent="0.3">
      <c r="A11" s="6">
        <v>10</v>
      </c>
      <c r="G11" s="7"/>
    </row>
    <row r="12" spans="1:7" x14ac:dyDescent="0.3">
      <c r="A12" s="6">
        <v>11</v>
      </c>
      <c r="G12" s="7"/>
    </row>
    <row r="13" spans="1:7" x14ac:dyDescent="0.3">
      <c r="A13" s="6">
        <v>12</v>
      </c>
      <c r="G13" s="7"/>
    </row>
    <row r="14" spans="1:7" x14ac:dyDescent="0.3">
      <c r="A14" s="6">
        <v>13</v>
      </c>
      <c r="G14" s="7"/>
    </row>
    <row r="15" spans="1:7" x14ac:dyDescent="0.3">
      <c r="A15" s="6">
        <v>14</v>
      </c>
      <c r="G15" s="7"/>
    </row>
    <row r="16" spans="1:7" x14ac:dyDescent="0.3">
      <c r="A16" s="6">
        <v>15</v>
      </c>
      <c r="G16" s="7"/>
    </row>
    <row r="17" spans="1:7" x14ac:dyDescent="0.3">
      <c r="A17" s="6">
        <v>16</v>
      </c>
      <c r="G17" s="7"/>
    </row>
    <row r="18" spans="1:7" x14ac:dyDescent="0.3">
      <c r="A18" s="6">
        <v>17</v>
      </c>
      <c r="G18" s="7"/>
    </row>
    <row r="19" spans="1:7" x14ac:dyDescent="0.3">
      <c r="A19" s="6">
        <v>18</v>
      </c>
    </row>
    <row r="20" spans="1:7" x14ac:dyDescent="0.3">
      <c r="A20" s="6">
        <v>19</v>
      </c>
    </row>
    <row r="21" spans="1:7" x14ac:dyDescent="0.3">
      <c r="A21" s="6">
        <v>20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CC70-7637-4151-9951-7DBCAC6B1EA0}">
  <dimension ref="A1:E2"/>
  <sheetViews>
    <sheetView workbookViewId="0">
      <selection activeCell="C2" sqref="C2:E2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2" customFormat="1" x14ac:dyDescent="0.3">
      <c r="A1" s="2" t="s">
        <v>59</v>
      </c>
      <c r="B1" s="2" t="s">
        <v>60</v>
      </c>
      <c r="C1" s="2" t="s">
        <v>63</v>
      </c>
      <c r="D1" s="2" t="s">
        <v>64</v>
      </c>
      <c r="E1" s="2" t="s">
        <v>65</v>
      </c>
    </row>
    <row r="2" spans="1:5" x14ac:dyDescent="0.3">
      <c r="A2" t="s">
        <v>66</v>
      </c>
      <c r="B2" t="s">
        <v>26</v>
      </c>
      <c r="C2">
        <v>2</v>
      </c>
      <c r="D2">
        <v>0</v>
      </c>
      <c r="E2">
        <v>20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BEF-1F4B-494A-B089-4FCDFFFA57F7}">
  <dimension ref="A1:C25"/>
  <sheetViews>
    <sheetView workbookViewId="0">
      <selection activeCell="I13" sqref="I13"/>
    </sheetView>
  </sheetViews>
  <sheetFormatPr defaultRowHeight="14.4" x14ac:dyDescent="0.3"/>
  <cols>
    <col min="1" max="1" width="19.33203125" style="4" customWidth="1"/>
  </cols>
  <sheetData>
    <row r="1" spans="1:3" x14ac:dyDescent="0.3">
      <c r="A1" s="2" t="s">
        <v>22</v>
      </c>
      <c r="B1" s="2"/>
      <c r="C1" s="2"/>
    </row>
    <row r="2" spans="1:3" x14ac:dyDescent="0.3">
      <c r="A2" s="4">
        <f>IF(timeseries!A2&lt;&gt;"",timeseries!A2,"")</f>
        <v>44671</v>
      </c>
    </row>
    <row r="3" spans="1:3" x14ac:dyDescent="0.3">
      <c r="A3" s="4">
        <f>IF(timeseries!A3&lt;&gt;"",timeseries!A3,"")</f>
        <v>44671.041666666664</v>
      </c>
    </row>
    <row r="4" spans="1:3" x14ac:dyDescent="0.3">
      <c r="A4" s="4">
        <f>IF(timeseries!A4&lt;&gt;"",timeseries!A4,"")</f>
        <v>44671.08333321759</v>
      </c>
    </row>
    <row r="5" spans="1:3" x14ac:dyDescent="0.3">
      <c r="A5" s="4">
        <f>IF(timeseries!A5&lt;&gt;"",timeseries!A5,"")</f>
        <v>44671.124999884254</v>
      </c>
    </row>
    <row r="6" spans="1:3" x14ac:dyDescent="0.3">
      <c r="A6" s="4">
        <f>IF(timeseries!A6&lt;&gt;"",timeseries!A6,"")</f>
        <v>44671.166666550918</v>
      </c>
    </row>
    <row r="7" spans="1:3" x14ac:dyDescent="0.3">
      <c r="A7" s="4">
        <f>IF(timeseries!A7&lt;&gt;"",timeseries!A7,"")</f>
        <v>44671.208333217583</v>
      </c>
    </row>
    <row r="8" spans="1:3" x14ac:dyDescent="0.3">
      <c r="A8" s="4">
        <f>IF(timeseries!A8&lt;&gt;"",timeseries!A8,"")</f>
        <v>44671.249999884247</v>
      </c>
    </row>
    <row r="9" spans="1:3" x14ac:dyDescent="0.3">
      <c r="A9" s="4" t="str">
        <f>IF(timeseries!A9&lt;&gt;"",timeseries!A9,"")</f>
        <v/>
      </c>
    </row>
    <row r="10" spans="1:3" x14ac:dyDescent="0.3">
      <c r="A10" s="4" t="str">
        <f>IF(timeseries!A10&lt;&gt;"",timeseries!A10,"")</f>
        <v/>
      </c>
    </row>
    <row r="11" spans="1:3" x14ac:dyDescent="0.3">
      <c r="A11" s="4" t="str">
        <f>IF(timeseries!A11&lt;&gt;"",timeseries!A11,"")</f>
        <v/>
      </c>
    </row>
    <row r="12" spans="1:3" x14ac:dyDescent="0.3">
      <c r="A12" s="4" t="str">
        <f>IF(timeseries!A12&lt;&gt;"",timeseries!A12,"")</f>
        <v/>
      </c>
    </row>
    <row r="13" spans="1:3" x14ac:dyDescent="0.3">
      <c r="A13" s="4" t="str">
        <f>IF(timeseries!A13&lt;&gt;"",timeseries!A13,"")</f>
        <v/>
      </c>
    </row>
    <row r="14" spans="1:3" x14ac:dyDescent="0.3">
      <c r="A14" s="4" t="str">
        <f>IF(timeseries!A14&lt;&gt;"",timeseries!A14,"")</f>
        <v/>
      </c>
    </row>
    <row r="15" spans="1:3" x14ac:dyDescent="0.3">
      <c r="A15" s="4" t="str">
        <f>IF(timeseries!A15&lt;&gt;"",timeseries!A15,"")</f>
        <v/>
      </c>
    </row>
    <row r="16" spans="1: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1"/>
  <sheetViews>
    <sheetView workbookViewId="0">
      <selection activeCell="A2" sqref="A2"/>
    </sheetView>
  </sheetViews>
  <sheetFormatPr defaultRowHeight="14.4" x14ac:dyDescent="0.3"/>
  <sheetData>
    <row r="1" spans="1:2" s="2" customFormat="1" x14ac:dyDescent="0.3">
      <c r="A1" s="2" t="s">
        <v>35</v>
      </c>
      <c r="B1" s="2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L25"/>
  <sheetViews>
    <sheetView workbookViewId="0">
      <selection activeCell="B1" sqref="B1:F1048576"/>
    </sheetView>
  </sheetViews>
  <sheetFormatPr defaultRowHeight="14.4" x14ac:dyDescent="0.3"/>
  <cols>
    <col min="1" max="1" width="19.33203125" style="4" customWidth="1"/>
    <col min="6" max="6" width="23.109375" customWidth="1"/>
    <col min="12" max="12" width="12.109375" bestFit="1" customWidth="1"/>
  </cols>
  <sheetData>
    <row r="1" spans="1:12" s="2" customFormat="1" x14ac:dyDescent="0.3">
      <c r="A1" s="2" t="s">
        <v>22</v>
      </c>
      <c r="F1"/>
    </row>
    <row r="2" spans="1:12" x14ac:dyDescent="0.3">
      <c r="A2" s="4">
        <f>IF(timeseries!A2&lt;&gt;"",timeseries!A2,"")</f>
        <v>44671</v>
      </c>
      <c r="F2" s="4"/>
      <c r="L2" s="4"/>
    </row>
    <row r="3" spans="1:12" x14ac:dyDescent="0.3">
      <c r="A3" s="4">
        <f>IF(timeseries!A3&lt;&gt;"",timeseries!A3,"")</f>
        <v>44671.041666666664</v>
      </c>
    </row>
    <row r="4" spans="1:12" x14ac:dyDescent="0.3">
      <c r="A4" s="4">
        <f>IF(timeseries!A4&lt;&gt;"",timeseries!A4,"")</f>
        <v>44671.08333321759</v>
      </c>
    </row>
    <row r="5" spans="1:12" x14ac:dyDescent="0.3">
      <c r="A5" s="4">
        <f>IF(timeseries!A5&lt;&gt;"",timeseries!A5,"")</f>
        <v>44671.124999884254</v>
      </c>
    </row>
    <row r="6" spans="1:12" x14ac:dyDescent="0.3">
      <c r="A6" s="4">
        <f>IF(timeseries!A6&lt;&gt;"",timeseries!A6,"")</f>
        <v>44671.166666550918</v>
      </c>
    </row>
    <row r="7" spans="1:12" x14ac:dyDescent="0.3">
      <c r="A7" s="4">
        <f>IF(timeseries!A7&lt;&gt;"",timeseries!A7,"")</f>
        <v>44671.208333217583</v>
      </c>
    </row>
    <row r="8" spans="1:12" x14ac:dyDescent="0.3">
      <c r="A8" s="4">
        <f>IF(timeseries!A8&lt;&gt;"",timeseries!A8,"")</f>
        <v>44671.249999884247</v>
      </c>
    </row>
    <row r="9" spans="1:12" x14ac:dyDescent="0.3">
      <c r="A9" s="4" t="str">
        <f>IF(timeseries!A9&lt;&gt;"",timeseries!A9,"")</f>
        <v/>
      </c>
    </row>
    <row r="10" spans="1:12" x14ac:dyDescent="0.3">
      <c r="A10" s="4" t="str">
        <f>IF(timeseries!A10&lt;&gt;"",timeseries!A10,"")</f>
        <v/>
      </c>
    </row>
    <row r="11" spans="1:12" x14ac:dyDescent="0.3">
      <c r="A11" s="4" t="str">
        <f>IF(timeseries!A11&lt;&gt;"",timeseries!A11,"")</f>
        <v/>
      </c>
    </row>
    <row r="12" spans="1:12" x14ac:dyDescent="0.3">
      <c r="A12" s="4" t="str">
        <f>IF(timeseries!A12&lt;&gt;"",timeseries!A12,"")</f>
        <v/>
      </c>
    </row>
    <row r="13" spans="1:12" x14ac:dyDescent="0.3">
      <c r="A13" s="4" t="str">
        <f>IF(timeseries!A13&lt;&gt;"",timeseries!A13,"")</f>
        <v/>
      </c>
    </row>
    <row r="14" spans="1:12" x14ac:dyDescent="0.3">
      <c r="A14" s="4" t="str">
        <f>IF(timeseries!A14&lt;&gt;"",timeseries!A14,"")</f>
        <v/>
      </c>
    </row>
    <row r="15" spans="1:12" x14ac:dyDescent="0.3">
      <c r="A15" s="4" t="str">
        <f>IF(timeseries!A15&lt;&gt;"",timeseries!A15,"")</f>
        <v/>
      </c>
    </row>
    <row r="16" spans="1:1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G25"/>
  <sheetViews>
    <sheetView workbookViewId="0">
      <selection activeCell="C2" sqref="C2:C3"/>
    </sheetView>
  </sheetViews>
  <sheetFormatPr defaultRowHeight="14.4" x14ac:dyDescent="0.3"/>
  <cols>
    <col min="1" max="1" width="19.33203125" style="4" customWidth="1"/>
    <col min="4" max="6" width="10.44140625" customWidth="1"/>
    <col min="7" max="7" width="10.44140625" style="1" customWidth="1"/>
  </cols>
  <sheetData>
    <row r="1" spans="1:7" s="2" customFormat="1" x14ac:dyDescent="0.3">
      <c r="A1" s="2" t="s">
        <v>22</v>
      </c>
      <c r="B1" s="2" t="s">
        <v>75</v>
      </c>
      <c r="C1" s="2" t="s">
        <v>76</v>
      </c>
    </row>
    <row r="2" spans="1:7" x14ac:dyDescent="0.3">
      <c r="A2" s="4">
        <f>IF(timeseries!A2&lt;&gt;"",timeseries!A2,"")</f>
        <v>44671</v>
      </c>
      <c r="B2">
        <v>-2</v>
      </c>
      <c r="C2">
        <f>node_history!C2*-1</f>
        <v>-3</v>
      </c>
      <c r="G2"/>
    </row>
    <row r="3" spans="1:7" x14ac:dyDescent="0.3">
      <c r="A3" s="4">
        <f>IF(timeseries!A3&lt;&gt;"",timeseries!A3,"")</f>
        <v>44671.041666666664</v>
      </c>
      <c r="B3">
        <v>-2</v>
      </c>
      <c r="C3">
        <f>node_history!C3*-1</f>
        <v>-4</v>
      </c>
      <c r="G3"/>
    </row>
    <row r="4" spans="1:7" x14ac:dyDescent="0.3">
      <c r="A4" s="4">
        <f>IF(timeseries!A4&lt;&gt;"",timeseries!A4,"")</f>
        <v>44671.08333321759</v>
      </c>
      <c r="B4">
        <v>-5</v>
      </c>
      <c r="C4">
        <v>-3</v>
      </c>
      <c r="G4"/>
    </row>
    <row r="5" spans="1:7" x14ac:dyDescent="0.3">
      <c r="A5" s="4">
        <f>IF(timeseries!A5&lt;&gt;"",timeseries!A5,"")</f>
        <v>44671.124999884254</v>
      </c>
      <c r="B5">
        <v>-7</v>
      </c>
      <c r="C5">
        <v>-2</v>
      </c>
      <c r="G5"/>
    </row>
    <row r="6" spans="1:7" x14ac:dyDescent="0.3">
      <c r="A6" s="4">
        <f>IF(timeseries!A6&lt;&gt;"",timeseries!A6,"")</f>
        <v>44671.166666550918</v>
      </c>
      <c r="B6">
        <v>-8</v>
      </c>
      <c r="C6">
        <v>-6</v>
      </c>
      <c r="G6"/>
    </row>
    <row r="7" spans="1:7" x14ac:dyDescent="0.3">
      <c r="A7" s="4">
        <f>IF(timeseries!A7&lt;&gt;"",timeseries!A7,"")</f>
        <v>44671.208333217583</v>
      </c>
      <c r="B7">
        <v>-4</v>
      </c>
      <c r="C7">
        <v>-6</v>
      </c>
      <c r="G7"/>
    </row>
    <row r="8" spans="1:7" x14ac:dyDescent="0.3">
      <c r="A8" s="4">
        <f>IF(timeseries!A8&lt;&gt;"",timeseries!A8,"")</f>
        <v>44671.249999884247</v>
      </c>
      <c r="B8">
        <v>-7</v>
      </c>
      <c r="C8">
        <v>-4</v>
      </c>
      <c r="G8"/>
    </row>
    <row r="9" spans="1:7" x14ac:dyDescent="0.3">
      <c r="A9" s="4" t="str">
        <f>IF(timeseries!A9&lt;&gt;"",timeseries!A9,"")</f>
        <v/>
      </c>
      <c r="G9"/>
    </row>
    <row r="10" spans="1:7" x14ac:dyDescent="0.3">
      <c r="A10" s="4" t="str">
        <f>IF(timeseries!A10&lt;&gt;"",timeseries!A10,"")</f>
        <v/>
      </c>
      <c r="G10"/>
    </row>
    <row r="11" spans="1:7" x14ac:dyDescent="0.3">
      <c r="A11" s="4" t="str">
        <f>IF(timeseries!A11&lt;&gt;"",timeseries!A11,"")</f>
        <v/>
      </c>
      <c r="G11"/>
    </row>
    <row r="12" spans="1:7" x14ac:dyDescent="0.3">
      <c r="A12" s="4" t="str">
        <f>IF(timeseries!A12&lt;&gt;"",timeseries!A12,"")</f>
        <v/>
      </c>
      <c r="G12"/>
    </row>
    <row r="13" spans="1:7" x14ac:dyDescent="0.3">
      <c r="A13" s="4" t="str">
        <f>IF(timeseries!A13&lt;&gt;"",timeseries!A13,"")</f>
        <v/>
      </c>
      <c r="G13"/>
    </row>
    <row r="14" spans="1:7" x14ac:dyDescent="0.3">
      <c r="G14"/>
    </row>
    <row r="15" spans="1:7" x14ac:dyDescent="0.3">
      <c r="G15"/>
    </row>
    <row r="16" spans="1:7" x14ac:dyDescent="0.3">
      <c r="A16" s="4" t="str">
        <f>IF(timeseries!A16&lt;&gt;"",timeseries!A16,"")</f>
        <v/>
      </c>
      <c r="G16"/>
    </row>
    <row r="17" spans="1:7" x14ac:dyDescent="0.3">
      <c r="A17" s="4" t="str">
        <f>IF(timeseries!A17&lt;&gt;"",timeseries!A17,"")</f>
        <v/>
      </c>
      <c r="G17"/>
    </row>
    <row r="18" spans="1:7" x14ac:dyDescent="0.3">
      <c r="A18" s="4" t="str">
        <f>IF(timeseries!A18&lt;&gt;"",timeseries!A18,"")</f>
        <v/>
      </c>
      <c r="G18"/>
    </row>
    <row r="19" spans="1:7" x14ac:dyDescent="0.3">
      <c r="A19" s="4" t="str">
        <f>IF(timeseries!A19&lt;&gt;"",timeseries!A19,"")</f>
        <v/>
      </c>
      <c r="G19"/>
    </row>
    <row r="20" spans="1:7" x14ac:dyDescent="0.3">
      <c r="A20" s="4" t="str">
        <f>IF(timeseries!A20&lt;&gt;"",timeseries!A20,"")</f>
        <v/>
      </c>
      <c r="G20"/>
    </row>
    <row r="21" spans="1:7" x14ac:dyDescent="0.3">
      <c r="A21" s="4" t="str">
        <f>IF(timeseries!A21&lt;&gt;"",timeseries!A21,"")</f>
        <v/>
      </c>
      <c r="G21"/>
    </row>
    <row r="22" spans="1:7" x14ac:dyDescent="0.3">
      <c r="A22" s="4" t="str">
        <f>IF(timeseries!A22&lt;&gt;"",timeseries!A22,"")</f>
        <v/>
      </c>
      <c r="G22"/>
    </row>
    <row r="23" spans="1:7" x14ac:dyDescent="0.3">
      <c r="A23" s="4" t="str">
        <f>IF(timeseries!A23&lt;&gt;"",timeseries!A23,"")</f>
        <v/>
      </c>
      <c r="G23"/>
    </row>
    <row r="24" spans="1:7" x14ac:dyDescent="0.3">
      <c r="A24" s="4" t="str">
        <f>IF(timeseries!A24&lt;&gt;"",timeseries!A24,"")</f>
        <v/>
      </c>
      <c r="G24"/>
    </row>
    <row r="25" spans="1:7" x14ac:dyDescent="0.3">
      <c r="A25" s="4" t="str">
        <f>IF(timeseries!A25&lt;&gt;"",timeseries!A25,"")</f>
        <v/>
      </c>
      <c r="G2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40C-3F1E-4DCA-B153-EDE213641CC0}">
  <dimension ref="A1:F17"/>
  <sheetViews>
    <sheetView workbookViewId="0">
      <selection sqref="A1:A1048576"/>
    </sheetView>
  </sheetViews>
  <sheetFormatPr defaultRowHeight="14.4" x14ac:dyDescent="0.3"/>
  <cols>
    <col min="3" max="6" width="13.33203125" bestFit="1" customWidth="1"/>
    <col min="7" max="7" width="13.6640625" customWidth="1"/>
  </cols>
  <sheetData>
    <row r="1" spans="1:6" x14ac:dyDescent="0.3">
      <c r="A1" t="s">
        <v>22</v>
      </c>
    </row>
    <row r="2" spans="1:6" x14ac:dyDescent="0.3">
      <c r="A2">
        <v>1</v>
      </c>
      <c r="C2" s="4"/>
      <c r="E2" s="4"/>
    </row>
    <row r="3" spans="1:6" x14ac:dyDescent="0.3">
      <c r="A3">
        <v>2</v>
      </c>
      <c r="C3" s="4"/>
      <c r="E3" s="4"/>
    </row>
    <row r="4" spans="1:6" x14ac:dyDescent="0.3">
      <c r="A4">
        <v>3</v>
      </c>
      <c r="C4" s="4"/>
      <c r="E4" s="4"/>
    </row>
    <row r="5" spans="1:6" x14ac:dyDescent="0.3">
      <c r="A5">
        <v>4</v>
      </c>
      <c r="C5" s="4"/>
      <c r="E5" s="4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4"/>
      <c r="D15" s="4"/>
      <c r="E15" s="4"/>
      <c r="F15" s="4"/>
    </row>
    <row r="17" spans="3:6" x14ac:dyDescent="0.3">
      <c r="C17" s="4"/>
      <c r="D17" s="4"/>
      <c r="E17" s="4"/>
      <c r="F1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BE0C-7760-44E5-BB70-780CAB7B2F65}">
  <dimension ref="A1:G1"/>
  <sheetViews>
    <sheetView tabSelected="1" workbookViewId="0">
      <selection activeCell="G1" sqref="G1"/>
    </sheetView>
  </sheetViews>
  <sheetFormatPr defaultRowHeight="14.4" x14ac:dyDescent="0.3"/>
  <cols>
    <col min="1" max="1" width="12.44140625" bestFit="1" customWidth="1"/>
  </cols>
  <sheetData>
    <row r="1" spans="1:7" x14ac:dyDescent="0.3">
      <c r="A1" t="s">
        <v>98</v>
      </c>
      <c r="B1" t="s">
        <v>0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25"/>
  <sheetViews>
    <sheetView workbookViewId="0">
      <selection activeCell="B4" sqref="B4:B8"/>
    </sheetView>
  </sheetViews>
  <sheetFormatPr defaultRowHeight="14.4" x14ac:dyDescent="0.3"/>
  <cols>
    <col min="1" max="1" width="19.33203125" style="4" customWidth="1"/>
  </cols>
  <sheetData>
    <row r="1" spans="1:2" s="2" customFormat="1" x14ac:dyDescent="0.3">
      <c r="A1" s="2" t="s">
        <v>22</v>
      </c>
      <c r="B1" s="2" t="s">
        <v>46</v>
      </c>
    </row>
    <row r="2" spans="1:2" x14ac:dyDescent="0.3">
      <c r="A2" s="4">
        <f>IF(timeseries!A2&lt;&gt;"",timeseries!A2,"")</f>
        <v>44671</v>
      </c>
      <c r="B2">
        <v>1</v>
      </c>
    </row>
    <row r="3" spans="1:2" x14ac:dyDescent="0.3">
      <c r="A3" s="4">
        <f>IF(timeseries!A3&lt;&gt;"",timeseries!A3,"")</f>
        <v>44671.041666666664</v>
      </c>
      <c r="B3">
        <v>1</v>
      </c>
    </row>
    <row r="4" spans="1:2" x14ac:dyDescent="0.3">
      <c r="A4" s="4">
        <f>IF(timeseries!A4&lt;&gt;"",timeseries!A4,"")</f>
        <v>44671.08333321759</v>
      </c>
      <c r="B4">
        <v>1</v>
      </c>
    </row>
    <row r="5" spans="1:2" x14ac:dyDescent="0.3">
      <c r="A5" s="4">
        <f>IF(timeseries!A5&lt;&gt;"",timeseries!A5,"")</f>
        <v>44671.124999884254</v>
      </c>
      <c r="B5">
        <v>1</v>
      </c>
    </row>
    <row r="6" spans="1:2" x14ac:dyDescent="0.3">
      <c r="A6" s="4">
        <f>IF(timeseries!A6&lt;&gt;"",timeseries!A6,"")</f>
        <v>44671.166666550918</v>
      </c>
      <c r="B6">
        <v>1</v>
      </c>
    </row>
    <row r="7" spans="1:2" x14ac:dyDescent="0.3">
      <c r="A7" s="4">
        <f>IF(timeseries!A7&lt;&gt;"",timeseries!A7,"")</f>
        <v>44671.208333217583</v>
      </c>
      <c r="B7">
        <v>1</v>
      </c>
    </row>
    <row r="8" spans="1:2" x14ac:dyDescent="0.3">
      <c r="A8" s="4">
        <f>IF(timeseries!A8&lt;&gt;"",timeseries!A8,"")</f>
        <v>44671.249999884247</v>
      </c>
      <c r="B8">
        <v>1</v>
      </c>
    </row>
    <row r="9" spans="1:2" x14ac:dyDescent="0.3">
      <c r="A9" s="4" t="str">
        <f>IF(timeseries!A9&lt;&gt;"",timeseries!A9,"")</f>
        <v/>
      </c>
    </row>
    <row r="10" spans="1:2" x14ac:dyDescent="0.3">
      <c r="A10" s="4" t="str">
        <f>IF(timeseries!A10&lt;&gt;"",timeseries!A10,"")</f>
        <v/>
      </c>
    </row>
    <row r="11" spans="1:2" x14ac:dyDescent="0.3">
      <c r="A11" s="4" t="str">
        <f>IF(timeseries!A11&lt;&gt;"",timeseries!A11,"")</f>
        <v/>
      </c>
    </row>
    <row r="12" spans="1:2" x14ac:dyDescent="0.3">
      <c r="A12" s="4" t="str">
        <f>IF(timeseries!A12&lt;&gt;"",timeseries!A12,"")</f>
        <v/>
      </c>
    </row>
    <row r="13" spans="1:2" x14ac:dyDescent="0.3">
      <c r="A13" s="4" t="str">
        <f>IF(timeseries!A13&lt;&gt;"",timeseries!A13,"")</f>
        <v/>
      </c>
    </row>
    <row r="14" spans="1:2" x14ac:dyDescent="0.3">
      <c r="A14" s="4" t="str">
        <f>IF(timeseries!A14&lt;&gt;"",timeseries!A14,"")</f>
        <v/>
      </c>
    </row>
    <row r="15" spans="1:2" x14ac:dyDescent="0.3">
      <c r="A15" s="4" t="str">
        <f>IF(timeseries!A15&lt;&gt;"",timeseries!A15,"")</f>
        <v/>
      </c>
    </row>
    <row r="16" spans="1: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K5"/>
  <sheetViews>
    <sheetView workbookViewId="0">
      <selection activeCell="B2" sqref="B2"/>
    </sheetView>
  </sheetViews>
  <sheetFormatPr defaultRowHeight="14.4" x14ac:dyDescent="0.3"/>
  <cols>
    <col min="1" max="1" width="7.33203125" bestFit="1" customWidth="1"/>
    <col min="2" max="2" width="7.6640625" bestFit="1" customWidth="1"/>
    <col min="3" max="3" width="6.6640625" bestFit="1" customWidth="1"/>
    <col min="4" max="4" width="12.33203125" bestFit="1" customWidth="1"/>
    <col min="5" max="5" width="9.33203125" bestFit="1" customWidth="1"/>
    <col min="6" max="6" width="12.6640625" bestFit="1" customWidth="1"/>
  </cols>
  <sheetData>
    <row r="1" spans="1:11" s="2" customFormat="1" x14ac:dyDescent="0.3">
      <c r="A1" s="2" t="s">
        <v>23</v>
      </c>
      <c r="B1" s="2" t="s">
        <v>94</v>
      </c>
      <c r="C1" s="2" t="s">
        <v>0</v>
      </c>
      <c r="D1" s="2" t="s">
        <v>58</v>
      </c>
      <c r="E1" s="2" t="s">
        <v>27</v>
      </c>
      <c r="F1" s="2" t="s">
        <v>35</v>
      </c>
      <c r="G1" s="2" t="s">
        <v>43</v>
      </c>
      <c r="H1" s="2" t="s">
        <v>52</v>
      </c>
      <c r="I1" s="2" t="s">
        <v>54</v>
      </c>
      <c r="J1" s="2" t="s">
        <v>55</v>
      </c>
      <c r="K1" s="2" t="s">
        <v>53</v>
      </c>
    </row>
    <row r="2" spans="1:11" x14ac:dyDescent="0.3">
      <c r="A2" s="3" t="s">
        <v>72</v>
      </c>
      <c r="B2" s="3" t="s">
        <v>70</v>
      </c>
      <c r="C2" s="3" t="s">
        <v>68</v>
      </c>
      <c r="D2" s="3" t="s">
        <v>67</v>
      </c>
      <c r="E2" s="3" t="s">
        <v>71</v>
      </c>
      <c r="F2" s="3" t="s">
        <v>71</v>
      </c>
      <c r="G2">
        <v>1</v>
      </c>
      <c r="H2">
        <v>0</v>
      </c>
      <c r="I2" s="3">
        <v>0</v>
      </c>
      <c r="J2" s="3">
        <v>0</v>
      </c>
      <c r="K2" s="3">
        <v>0</v>
      </c>
    </row>
    <row r="3" spans="1:11" x14ac:dyDescent="0.3">
      <c r="A3" s="3"/>
      <c r="B3" s="3"/>
      <c r="C3" s="3"/>
      <c r="D3" s="3"/>
      <c r="E3" s="3"/>
      <c r="F3" s="3"/>
      <c r="I3" s="3"/>
      <c r="J3" s="3"/>
      <c r="K3" s="3"/>
    </row>
    <row r="4" spans="1:11" x14ac:dyDescent="0.3">
      <c r="A4" s="3"/>
      <c r="B4" s="3"/>
      <c r="C4" s="3"/>
      <c r="D4" s="3"/>
      <c r="E4" s="3"/>
      <c r="F4" s="3"/>
      <c r="I4" s="3"/>
      <c r="J4" s="3"/>
      <c r="K4" s="3"/>
    </row>
    <row r="5" spans="1:11" x14ac:dyDescent="0.3">
      <c r="A5" s="3"/>
      <c r="B5" s="3"/>
      <c r="C5" s="3"/>
      <c r="D5" s="3"/>
      <c r="E5" s="3"/>
      <c r="F5" s="3"/>
      <c r="I5" s="3"/>
      <c r="J5" s="3"/>
      <c r="K5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2C5-DB60-4318-868D-D4FA20FECD5D}">
  <dimension ref="A1:A25"/>
  <sheetViews>
    <sheetView workbookViewId="0">
      <selection activeCell="F13" sqref="F13"/>
    </sheetView>
  </sheetViews>
  <sheetFormatPr defaultRowHeight="14.4" x14ac:dyDescent="0.3"/>
  <cols>
    <col min="1" max="1" width="19.33203125" style="4" customWidth="1"/>
    <col min="2" max="3" width="6.5546875" customWidth="1"/>
  </cols>
  <sheetData>
    <row r="1" spans="1:1" x14ac:dyDescent="0.3">
      <c r="A1" s="2" t="s">
        <v>22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44671.124999884254</v>
      </c>
    </row>
    <row r="6" spans="1:1" x14ac:dyDescent="0.3">
      <c r="A6" s="4">
        <f>IF(timeseries!A6&lt;&gt;"",timeseries!A6,"")</f>
        <v>44671.166666550918</v>
      </c>
    </row>
    <row r="7" spans="1:1" x14ac:dyDescent="0.3">
      <c r="A7" s="4">
        <f>IF(timeseries!A7&lt;&gt;"",timeseries!A7,"")</f>
        <v>44671.208333217583</v>
      </c>
    </row>
    <row r="8" spans="1:1" x14ac:dyDescent="0.3">
      <c r="A8" s="4">
        <f>IF(timeseries!A8&lt;&gt;"",timeseries!A8,"")</f>
        <v>44671.249999884247</v>
      </c>
    </row>
    <row r="9" spans="1:1" x14ac:dyDescent="0.3">
      <c r="A9" s="4" t="str">
        <f>IF(timeseries!A9&lt;&gt;"",timeseries!A9,"")</f>
        <v/>
      </c>
    </row>
    <row r="10" spans="1:1" x14ac:dyDescent="0.3">
      <c r="A10" s="4" t="str">
        <f>IF(timeseries!A10&lt;&gt;"",timeseries!A10,"")</f>
        <v/>
      </c>
    </row>
    <row r="11" spans="1:1" x14ac:dyDescent="0.3">
      <c r="A11" s="4" t="str">
        <f>IF(timeseries!A11&lt;&gt;"",timeseries!A11,"")</f>
        <v/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B25"/>
  <sheetViews>
    <sheetView workbookViewId="0">
      <selection sqref="A1:A1048576"/>
    </sheetView>
  </sheetViews>
  <sheetFormatPr defaultRowHeight="14.4" x14ac:dyDescent="0.3"/>
  <cols>
    <col min="1" max="1" width="19.33203125" style="4" customWidth="1"/>
    <col min="2" max="5" width="11.44140625" customWidth="1"/>
    <col min="6" max="13" width="11.109375" customWidth="1"/>
  </cols>
  <sheetData>
    <row r="1" spans="1:2" s="2" customFormat="1" x14ac:dyDescent="0.3">
      <c r="A1" s="2" t="s">
        <v>22</v>
      </c>
      <c r="B1" s="2" t="s">
        <v>73</v>
      </c>
    </row>
    <row r="2" spans="1:2" x14ac:dyDescent="0.3">
      <c r="A2" s="4">
        <f>IF(timeseries!A2&lt;&gt;"",timeseries!A2,"")</f>
        <v>44671</v>
      </c>
      <c r="B2">
        <v>0</v>
      </c>
    </row>
    <row r="3" spans="1:2" x14ac:dyDescent="0.3">
      <c r="A3" s="4">
        <f>IF(timeseries!A3&lt;&gt;"",timeseries!A3,"")</f>
        <v>44671.041666666664</v>
      </c>
      <c r="B3">
        <v>0</v>
      </c>
    </row>
    <row r="4" spans="1:2" x14ac:dyDescent="0.3">
      <c r="A4" s="4">
        <f>IF(timeseries!A4&lt;&gt;"",timeseries!A4,"")</f>
        <v>44671.08333321759</v>
      </c>
      <c r="B4">
        <v>0</v>
      </c>
    </row>
    <row r="5" spans="1:2" x14ac:dyDescent="0.3">
      <c r="A5" s="4">
        <f>IF(timeseries!A5&lt;&gt;"",timeseries!A5,"")</f>
        <v>44671.124999884254</v>
      </c>
      <c r="B5">
        <v>0</v>
      </c>
    </row>
    <row r="6" spans="1:2" x14ac:dyDescent="0.3">
      <c r="A6" s="4">
        <f>IF(timeseries!A6&lt;&gt;"",timeseries!A6,"")</f>
        <v>44671.166666550918</v>
      </c>
      <c r="B6">
        <v>0</v>
      </c>
    </row>
    <row r="7" spans="1:2" x14ac:dyDescent="0.3">
      <c r="A7" s="4">
        <f>IF(timeseries!A7&lt;&gt;"",timeseries!A7,"")</f>
        <v>44671.208333217583</v>
      </c>
      <c r="B7">
        <v>0</v>
      </c>
    </row>
    <row r="8" spans="1:2" x14ac:dyDescent="0.3">
      <c r="A8" s="4">
        <f>IF(timeseries!A8&lt;&gt;"",timeseries!A8,"")</f>
        <v>44671.249999884247</v>
      </c>
      <c r="B8">
        <v>0</v>
      </c>
    </row>
    <row r="9" spans="1:2" x14ac:dyDescent="0.3">
      <c r="A9" s="4" t="str">
        <f>IF(timeseries!A9&lt;&gt;"",timeseries!A9,"")</f>
        <v/>
      </c>
    </row>
    <row r="10" spans="1:2" x14ac:dyDescent="0.3">
      <c r="A10" s="4" t="str">
        <f>IF(timeseries!A10&lt;&gt;"",timeseries!A10,"")</f>
        <v/>
      </c>
    </row>
    <row r="11" spans="1:2" x14ac:dyDescent="0.3">
      <c r="A11" s="4" t="str">
        <f>IF(timeseries!A11&lt;&gt;"",timeseries!A11,"")</f>
        <v/>
      </c>
    </row>
    <row r="12" spans="1:2" x14ac:dyDescent="0.3">
      <c r="A12" s="4" t="str">
        <f>IF(timeseries!A12&lt;&gt;"",timeseries!A12,"")</f>
        <v/>
      </c>
    </row>
    <row r="13" spans="1:2" x14ac:dyDescent="0.3">
      <c r="A13" s="4" t="str">
        <f>IF(timeseries!A13&lt;&gt;"",timeseries!A13,"")</f>
        <v/>
      </c>
    </row>
    <row r="14" spans="1:2" x14ac:dyDescent="0.3">
      <c r="A14" s="4" t="str">
        <f>IF(timeseries!A14&lt;&gt;"",timeseries!A14,"")</f>
        <v/>
      </c>
    </row>
    <row r="15" spans="1:2" x14ac:dyDescent="0.3">
      <c r="A15" s="4" t="str">
        <f>IF(timeseries!A15&lt;&gt;"",timeseries!A15,"")</f>
        <v/>
      </c>
    </row>
    <row r="16" spans="1: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G25"/>
  <sheetViews>
    <sheetView workbookViewId="0">
      <selection activeCell="B4" sqref="B4:C8"/>
    </sheetView>
  </sheetViews>
  <sheetFormatPr defaultRowHeight="14.4" x14ac:dyDescent="0.3"/>
  <cols>
    <col min="1" max="1" width="14.33203125" bestFit="1" customWidth="1"/>
    <col min="2" max="4" width="10.33203125" customWidth="1"/>
    <col min="5" max="7" width="11.6640625" customWidth="1"/>
  </cols>
  <sheetData>
    <row r="1" spans="1:7" x14ac:dyDescent="0.3">
      <c r="A1" s="2" t="s">
        <v>22</v>
      </c>
      <c r="B1" s="2" t="s">
        <v>74</v>
      </c>
      <c r="C1" s="2" t="s">
        <v>77</v>
      </c>
      <c r="D1" s="2"/>
      <c r="E1" s="2"/>
      <c r="F1" s="2"/>
      <c r="G1" s="2"/>
    </row>
    <row r="2" spans="1:7" x14ac:dyDescent="0.3">
      <c r="A2" s="4">
        <f>IF(timeseries!A2&lt;&gt;"",timeseries!A2,"")</f>
        <v>44671</v>
      </c>
      <c r="B2">
        <v>1</v>
      </c>
      <c r="C2">
        <v>-1</v>
      </c>
    </row>
    <row r="3" spans="1:7" x14ac:dyDescent="0.3">
      <c r="A3" s="4">
        <f>IF(timeseries!A3&lt;&gt;"",timeseries!A3,"")</f>
        <v>44671.041666666664</v>
      </c>
      <c r="B3">
        <v>1</v>
      </c>
      <c r="C3">
        <v>-1</v>
      </c>
    </row>
    <row r="4" spans="1:7" x14ac:dyDescent="0.3">
      <c r="A4" s="4">
        <f>IF(timeseries!A4&lt;&gt;"",timeseries!A4,"")</f>
        <v>44671.08333321759</v>
      </c>
      <c r="B4">
        <v>1</v>
      </c>
      <c r="C4">
        <v>-1</v>
      </c>
    </row>
    <row r="5" spans="1:7" x14ac:dyDescent="0.3">
      <c r="A5" s="4">
        <f>IF(timeseries!A5&lt;&gt;"",timeseries!A5,"")</f>
        <v>44671.124999884254</v>
      </c>
      <c r="B5">
        <v>1</v>
      </c>
      <c r="C5">
        <v>-1</v>
      </c>
    </row>
    <row r="6" spans="1:7" x14ac:dyDescent="0.3">
      <c r="A6" s="4">
        <f>IF(timeseries!A6&lt;&gt;"",timeseries!A6,"")</f>
        <v>44671.166666550918</v>
      </c>
      <c r="B6">
        <v>1</v>
      </c>
      <c r="C6">
        <v>-1</v>
      </c>
    </row>
    <row r="7" spans="1:7" x14ac:dyDescent="0.3">
      <c r="A7" s="4">
        <f>IF(timeseries!A7&lt;&gt;"",timeseries!A7,"")</f>
        <v>44671.208333217583</v>
      </c>
      <c r="B7">
        <v>1</v>
      </c>
      <c r="C7">
        <v>-1</v>
      </c>
    </row>
    <row r="8" spans="1:7" x14ac:dyDescent="0.3">
      <c r="A8" s="4">
        <f>IF(timeseries!A8&lt;&gt;"",timeseries!A8,"")</f>
        <v>44671.249999884247</v>
      </c>
      <c r="B8">
        <v>1</v>
      </c>
      <c r="C8">
        <v>-1</v>
      </c>
    </row>
    <row r="9" spans="1:7" x14ac:dyDescent="0.3">
      <c r="A9" s="4" t="str">
        <f>IF(timeseries!A9&lt;&gt;"",timeseries!A9,"")</f>
        <v/>
      </c>
    </row>
    <row r="10" spans="1:7" x14ac:dyDescent="0.3">
      <c r="A10" s="4" t="str">
        <f>IF(timeseries!A10&lt;&gt;"",timeseries!A10,"")</f>
        <v/>
      </c>
    </row>
    <row r="11" spans="1:7" x14ac:dyDescent="0.3">
      <c r="A11" s="4" t="str">
        <f>IF(timeseries!A11&lt;&gt;"",timeseries!A11,"")</f>
        <v/>
      </c>
    </row>
    <row r="12" spans="1:7" x14ac:dyDescent="0.3">
      <c r="A12" s="4" t="str">
        <f>IF(timeseries!A12&lt;&gt;"",timeseries!A12,"")</f>
        <v/>
      </c>
    </row>
    <row r="13" spans="1:7" x14ac:dyDescent="0.3">
      <c r="A13" s="4" t="str">
        <f>IF(timeseries!A13&lt;&gt;"",timeseries!A13,"")</f>
        <v/>
      </c>
    </row>
    <row r="14" spans="1:7" x14ac:dyDescent="0.3">
      <c r="A14" s="4" t="str">
        <f>IF(timeseries!A14&lt;&gt;"",timeseries!A14,"")</f>
        <v/>
      </c>
    </row>
    <row r="15" spans="1:7" x14ac:dyDescent="0.3">
      <c r="A15" s="4" t="str">
        <f>IF(timeseries!A15&lt;&gt;"",timeseries!A15,"")</f>
        <v/>
      </c>
    </row>
    <row r="16" spans="1:7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B50B-2551-418F-9A2B-D489B21327D3}">
  <dimension ref="A1:BA25"/>
  <sheetViews>
    <sheetView workbookViewId="0">
      <selection activeCell="C10" sqref="C10"/>
    </sheetView>
  </sheetViews>
  <sheetFormatPr defaultRowHeight="14.4" x14ac:dyDescent="0.3"/>
  <cols>
    <col min="1" max="1" width="19.33203125" style="4" customWidth="1"/>
  </cols>
  <sheetData>
    <row r="1" spans="1:53" s="2" customFormat="1" x14ac:dyDescent="0.3">
      <c r="A1" s="2" t="s">
        <v>22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4">
        <f>IF(timeseries!A2&lt;&gt;"",timeseries!A2,"")</f>
        <v>44671</v>
      </c>
    </row>
    <row r="3" spans="1:53" x14ac:dyDescent="0.3">
      <c r="A3" s="4">
        <f>IF(timeseries!A3&lt;&gt;"",timeseries!A3,"")</f>
        <v>44671.041666666664</v>
      </c>
    </row>
    <row r="4" spans="1:53" x14ac:dyDescent="0.3">
      <c r="A4" s="4">
        <f>IF(timeseries!A4&lt;&gt;"",timeseries!A4,"")</f>
        <v>44671.08333321759</v>
      </c>
    </row>
    <row r="5" spans="1:53" x14ac:dyDescent="0.3">
      <c r="A5" s="4">
        <f>IF(timeseries!A5&lt;&gt;"",timeseries!A5,"")</f>
        <v>44671.124999884254</v>
      </c>
    </row>
    <row r="6" spans="1:53" x14ac:dyDescent="0.3">
      <c r="A6" s="4">
        <f>IF(timeseries!A6&lt;&gt;"",timeseries!A6,"")</f>
        <v>44671.166666550918</v>
      </c>
    </row>
    <row r="7" spans="1:53" x14ac:dyDescent="0.3">
      <c r="A7" s="4">
        <f>IF(timeseries!A7&lt;&gt;"",timeseries!A7,"")</f>
        <v>44671.208333217583</v>
      </c>
    </row>
    <row r="8" spans="1:53" x14ac:dyDescent="0.3">
      <c r="A8" s="4">
        <f>IF(timeseries!A8&lt;&gt;"",timeseries!A8,"")</f>
        <v>44671.249999884247</v>
      </c>
    </row>
    <row r="9" spans="1:53" x14ac:dyDescent="0.3">
      <c r="A9" s="4" t="str">
        <f>IF(timeseries!A9&lt;&gt;"",timeseries!A9,"")</f>
        <v/>
      </c>
    </row>
    <row r="10" spans="1:53" x14ac:dyDescent="0.3">
      <c r="A10" s="4" t="str">
        <f>IF(timeseries!A10&lt;&gt;"",timeseries!A10,"")</f>
        <v/>
      </c>
    </row>
    <row r="11" spans="1:53" x14ac:dyDescent="0.3">
      <c r="A11" s="4" t="str">
        <f>IF(timeseries!A11&lt;&gt;"",timeseries!A11,"")</f>
        <v/>
      </c>
    </row>
    <row r="12" spans="1:53" x14ac:dyDescent="0.3">
      <c r="A12" s="4" t="str">
        <f>IF(timeseries!A12&lt;&gt;"",timeseries!A12,"")</f>
        <v/>
      </c>
    </row>
    <row r="13" spans="1:53" x14ac:dyDescent="0.3">
      <c r="A13" s="4" t="str">
        <f>IF(timeseries!A13&lt;&gt;"",timeseries!A13,"")</f>
        <v/>
      </c>
    </row>
    <row r="14" spans="1:53" x14ac:dyDescent="0.3">
      <c r="A14" s="4" t="str">
        <f>IF(timeseries!A14&lt;&gt;"",timeseries!A14,"")</f>
        <v/>
      </c>
    </row>
    <row r="15" spans="1:53" x14ac:dyDescent="0.3">
      <c r="A15" s="4" t="str">
        <f>IF(timeseries!A15&lt;&gt;"",timeseries!A15,"")</f>
        <v/>
      </c>
    </row>
    <row r="16" spans="1:5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E105-1DBA-4EC3-91A2-14DA3D6D8868}">
  <dimension ref="A1:A25"/>
  <sheetViews>
    <sheetView workbookViewId="0">
      <selection sqref="A1:A1048576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22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44671.124999884254</v>
      </c>
    </row>
    <row r="6" spans="1:1" x14ac:dyDescent="0.3">
      <c r="A6" s="4">
        <f>IF(timeseries!A6&lt;&gt;"",timeseries!A6,"")</f>
        <v>44671.166666550918</v>
      </c>
    </row>
    <row r="7" spans="1:1" x14ac:dyDescent="0.3">
      <c r="A7" s="4">
        <f>IF(timeseries!A7&lt;&gt;"",timeseries!A7,"")</f>
        <v>44671.208333217583</v>
      </c>
    </row>
    <row r="8" spans="1:1" x14ac:dyDescent="0.3">
      <c r="A8" s="4">
        <f>IF(timeseries!A8&lt;&gt;"",timeseries!A8,"")</f>
        <v>44671.249999884247</v>
      </c>
    </row>
    <row r="9" spans="1:1" x14ac:dyDescent="0.3">
      <c r="A9" s="4" t="str">
        <f>IF(timeseries!A9&lt;&gt;"",timeseries!A9,"")</f>
        <v/>
      </c>
    </row>
    <row r="10" spans="1:1" x14ac:dyDescent="0.3">
      <c r="A10" s="4" t="str">
        <f>IF(timeseries!A10&lt;&gt;"",timeseries!A10,"")</f>
        <v/>
      </c>
    </row>
    <row r="11" spans="1:1" x14ac:dyDescent="0.3">
      <c r="A11" s="4" t="str">
        <f>IF(timeseries!A11&lt;&gt;"",timeseries!A11,"")</f>
        <v/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B4" sqref="B4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39</v>
      </c>
      <c r="B1" s="2" t="s">
        <v>40</v>
      </c>
    </row>
    <row r="2" spans="1:2" x14ac:dyDescent="0.3">
      <c r="A2" t="s">
        <v>41</v>
      </c>
      <c r="B2">
        <v>0.1</v>
      </c>
    </row>
    <row r="3" spans="1:2" x14ac:dyDescent="0.3">
      <c r="A3" t="s">
        <v>42</v>
      </c>
      <c r="B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2"/>
  <sheetViews>
    <sheetView workbookViewId="0">
      <selection activeCell="C1" sqref="C1:XFD1048576"/>
    </sheetView>
  </sheetViews>
  <sheetFormatPr defaultRowHeight="14.4" x14ac:dyDescent="0.3"/>
  <sheetData>
    <row r="1" spans="1:2" s="2" customFormat="1" x14ac:dyDescent="0.3">
      <c r="A1" s="2" t="s">
        <v>28</v>
      </c>
      <c r="B1" s="2" t="s">
        <v>29</v>
      </c>
    </row>
    <row r="2" spans="1:2" x14ac:dyDescent="0.3">
      <c r="A2" t="s">
        <v>30</v>
      </c>
      <c r="B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activeCell="L31" sqref="L31"/>
    </sheetView>
  </sheetViews>
  <sheetFormatPr defaultRowHeight="14.4" x14ac:dyDescent="0.3"/>
  <cols>
    <col min="1" max="1" width="19.33203125" style="4" customWidth="1"/>
  </cols>
  <sheetData>
    <row r="1" spans="1:1" s="2" customFormat="1" x14ac:dyDescent="0.3">
      <c r="A1" s="2" t="s">
        <v>22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44671.124999884254</v>
      </c>
    </row>
    <row r="6" spans="1:1" x14ac:dyDescent="0.3">
      <c r="A6" s="4">
        <f>IF(timeseries!A6&lt;&gt;"",timeseries!A6,"")</f>
        <v>44671.166666550918</v>
      </c>
    </row>
    <row r="7" spans="1:1" x14ac:dyDescent="0.3">
      <c r="A7" s="4">
        <f>IF(timeseries!A7&lt;&gt;"",timeseries!A7,"")</f>
        <v>44671.208333217583</v>
      </c>
    </row>
    <row r="8" spans="1:1" x14ac:dyDescent="0.3">
      <c r="A8" s="4">
        <f>IF(timeseries!A8&lt;&gt;"",timeseries!A8,"")</f>
        <v>44671.249999884247</v>
      </c>
    </row>
    <row r="9" spans="1:1" x14ac:dyDescent="0.3">
      <c r="A9" s="4" t="str">
        <f>IF(timeseries!A9&lt;&gt;"",timeseries!A9,"")</f>
        <v/>
      </c>
    </row>
    <row r="10" spans="1:1" x14ac:dyDescent="0.3">
      <c r="A10" s="4" t="str">
        <f>IF(timeseries!A10&lt;&gt;"",timeseries!A10,"")</f>
        <v/>
      </c>
    </row>
    <row r="11" spans="1:1" x14ac:dyDescent="0.3">
      <c r="A11" s="4" t="str">
        <f>IF(timeseries!A11&lt;&gt;"",timeseries!A11,"")</f>
        <v/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A25"/>
  <sheetViews>
    <sheetView workbookViewId="0">
      <selection sqref="A1:A1048576"/>
    </sheetView>
  </sheetViews>
  <sheetFormatPr defaultRowHeight="14.4" x14ac:dyDescent="0.3"/>
  <cols>
    <col min="1" max="1" width="19.33203125" style="4" customWidth="1"/>
  </cols>
  <sheetData>
    <row r="1" spans="1:1" s="2" customFormat="1" x14ac:dyDescent="0.3">
      <c r="A1" s="2" t="s">
        <v>22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44671.124999884254</v>
      </c>
    </row>
    <row r="6" spans="1:1" x14ac:dyDescent="0.3">
      <c r="A6" s="4">
        <f>IF(timeseries!A6&lt;&gt;"",timeseries!A6,"")</f>
        <v>44671.166666550918</v>
      </c>
    </row>
    <row r="7" spans="1:1" x14ac:dyDescent="0.3">
      <c r="A7" s="4">
        <f>IF(timeseries!A7&lt;&gt;"",timeseries!A7,"")</f>
        <v>44671.208333217583</v>
      </c>
    </row>
    <row r="8" spans="1:1" x14ac:dyDescent="0.3">
      <c r="A8" s="4">
        <f>IF(timeseries!A8&lt;&gt;"",timeseries!A8,"")</f>
        <v>44671.249999884247</v>
      </c>
    </row>
    <row r="9" spans="1:1" x14ac:dyDescent="0.3">
      <c r="A9" s="4" t="str">
        <f>IF(timeseries!A9&lt;&gt;"",timeseries!A9,"")</f>
        <v/>
      </c>
    </row>
    <row r="10" spans="1:1" x14ac:dyDescent="0.3">
      <c r="A10" s="4" t="str">
        <f>IF(timeseries!A10&lt;&gt;"",timeseries!A10,"")</f>
        <v/>
      </c>
    </row>
    <row r="11" spans="1:1" x14ac:dyDescent="0.3">
      <c r="A11" s="4" t="str">
        <f>IF(timeseries!A11&lt;&gt;"",timeseries!A11,"")</f>
        <v/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K5" sqref="A2:K5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28</v>
      </c>
      <c r="B1" t="s">
        <v>45</v>
      </c>
      <c r="C1" t="s">
        <v>56</v>
      </c>
      <c r="D1" t="s">
        <v>57</v>
      </c>
    </row>
    <row r="9" spans="1:13" x14ac:dyDescent="0.3">
      <c r="K9" s="2"/>
      <c r="L9" s="2"/>
      <c r="M9" s="2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A25"/>
  <sheetViews>
    <sheetView workbookViewId="0">
      <selection activeCell="B1" sqref="B1:F1048576"/>
    </sheetView>
  </sheetViews>
  <sheetFormatPr defaultRowHeight="14.4" x14ac:dyDescent="0.3"/>
  <cols>
    <col min="1" max="1" width="19.33203125" style="4" customWidth="1"/>
    <col min="2" max="4" width="14.44140625" bestFit="1" customWidth="1"/>
    <col min="5" max="7" width="14.109375" bestFit="1" customWidth="1"/>
    <col min="8" max="10" width="5.33203125" bestFit="1" customWidth="1"/>
  </cols>
  <sheetData>
    <row r="1" spans="1:1" x14ac:dyDescent="0.3">
      <c r="A1" s="2" t="s">
        <v>22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44671.124999884254</v>
      </c>
    </row>
    <row r="6" spans="1:1" x14ac:dyDescent="0.3">
      <c r="A6" s="4">
        <f>IF(timeseries!A6&lt;&gt;"",timeseries!A6,"")</f>
        <v>44671.166666550918</v>
      </c>
    </row>
    <row r="7" spans="1:1" x14ac:dyDescent="0.3">
      <c r="A7" s="4">
        <f>IF(timeseries!A7&lt;&gt;"",timeseries!A7,"")</f>
        <v>44671.208333217583</v>
      </c>
    </row>
    <row r="8" spans="1:1" x14ac:dyDescent="0.3">
      <c r="A8" s="4">
        <f>IF(timeseries!A8&lt;&gt;"",timeseries!A8,"")</f>
        <v>44671.249999884247</v>
      </c>
    </row>
    <row r="9" spans="1:1" x14ac:dyDescent="0.3">
      <c r="A9" s="4" t="str">
        <f>IF(timeseries!A9&lt;&gt;"",timeseries!A9,"")</f>
        <v/>
      </c>
    </row>
    <row r="10" spans="1:1" x14ac:dyDescent="0.3">
      <c r="A10" s="4" t="str">
        <f>IF(timeseries!A10&lt;&gt;"",timeseries!A10,"")</f>
        <v/>
      </c>
    </row>
    <row r="11" spans="1:1" x14ac:dyDescent="0.3">
      <c r="A11" s="4" t="str">
        <f>IF(timeseries!A11&lt;&gt;"",timeseries!A11,"")</f>
        <v/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A25"/>
  <sheetViews>
    <sheetView workbookViewId="0">
      <selection activeCell="B1" sqref="B1:E1048576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22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44671.124999884254</v>
      </c>
    </row>
    <row r="6" spans="1:1" x14ac:dyDescent="0.3">
      <c r="A6" s="4">
        <f>IF(timeseries!A6&lt;&gt;"",timeseries!A6,"")</f>
        <v>44671.166666550918</v>
      </c>
    </row>
    <row r="7" spans="1:1" x14ac:dyDescent="0.3">
      <c r="A7" s="4">
        <f>IF(timeseries!A7&lt;&gt;"",timeseries!A7,"")</f>
        <v>44671.208333217583</v>
      </c>
    </row>
    <row r="8" spans="1:1" x14ac:dyDescent="0.3">
      <c r="A8" s="4">
        <f>IF(timeseries!A8&lt;&gt;"",timeseries!A8,"")</f>
        <v>44671.249999884247</v>
      </c>
    </row>
    <row r="9" spans="1:1" x14ac:dyDescent="0.3">
      <c r="A9" s="4" t="str">
        <f>IF(timeseries!A9&lt;&gt;"",timeseries!A9,"")</f>
        <v/>
      </c>
    </row>
    <row r="10" spans="1:1" x14ac:dyDescent="0.3">
      <c r="A10" s="4" t="str">
        <f>IF(timeseries!A10&lt;&gt;"",timeseries!A10,"")</f>
        <v/>
      </c>
    </row>
    <row r="11" spans="1:1" x14ac:dyDescent="0.3">
      <c r="A11" s="4" t="str">
        <f>IF(timeseries!A11&lt;&gt;"",timeseries!A11,"")</f>
        <v/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reserve_realisation</vt:lpstr>
      <vt:lpstr>market_prices</vt:lpstr>
      <vt:lpstr>balance_prices</vt:lpstr>
      <vt:lpstr>reserve_activation_price</vt:lpstr>
      <vt:lpstr>bid_slots</vt:lpstr>
      <vt:lpstr>risk</vt:lpstr>
      <vt:lpstr>scenarios</vt:lpstr>
      <vt:lpstr>fixed_ts</vt:lpstr>
      <vt:lpstr>eff_ts</vt:lpstr>
      <vt:lpstr>constraints</vt:lpstr>
      <vt:lpstr>gen_constraint</vt:lpstr>
      <vt:lpstr>cap_ts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2025-04-25T11:28:29Z</dcterms:modified>
</cp:coreProperties>
</file>