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ED82FA6C-C8B5-4CF8-A492-F85D2B4AC560}" xr6:coauthVersionLast="47" xr6:coauthVersionMax="47" xr10:uidLastSave="{00000000-0000-0000-0000-000000000000}"/>
  <bookViews>
    <workbookView xWindow="-108" yWindow="-108" windowWidth="23256" windowHeight="12576" tabRatio="796" firstSheet="6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market_prices" sheetId="8" r:id="rId18"/>
    <sheet name="reserve_realisation" sheetId="23" r:id="rId19"/>
    <sheet name="bid_slots" sheetId="28" r:id="rId20"/>
    <sheet name="balance_prices" sheetId="20" r:id="rId21"/>
    <sheet name="reserve_activation_price" sheetId="27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5" i="24" l="1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5" i="2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5" i="27" l="1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5" i="23" l="1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E3" i="20" l="1"/>
  <c r="F3" i="20"/>
  <c r="G3" i="20"/>
  <c r="E4" i="20"/>
  <c r="F4" i="20"/>
  <c r="G4" i="20"/>
  <c r="E5" i="20"/>
  <c r="F5" i="20"/>
  <c r="G5" i="20"/>
  <c r="E6" i="20"/>
  <c r="F6" i="20"/>
  <c r="G6" i="20"/>
  <c r="E7" i="20"/>
  <c r="F7" i="20"/>
  <c r="G7" i="20"/>
  <c r="E8" i="20"/>
  <c r="F8" i="20"/>
  <c r="G8" i="20"/>
  <c r="E9" i="20"/>
  <c r="F9" i="20"/>
  <c r="G9" i="20"/>
  <c r="E10" i="20"/>
  <c r="F10" i="20"/>
  <c r="G10" i="20"/>
  <c r="E11" i="20"/>
  <c r="F11" i="20"/>
  <c r="G11" i="20"/>
  <c r="E12" i="20"/>
  <c r="F12" i="20"/>
  <c r="G12" i="20"/>
  <c r="E13" i="20"/>
  <c r="F13" i="20"/>
  <c r="G13" i="20"/>
  <c r="E14" i="20"/>
  <c r="F14" i="20"/>
  <c r="G14" i="20"/>
  <c r="E15" i="20"/>
  <c r="F15" i="20"/>
  <c r="G15" i="20"/>
  <c r="E16" i="20"/>
  <c r="F16" i="20"/>
  <c r="G16" i="20"/>
  <c r="E17" i="20"/>
  <c r="F17" i="20"/>
  <c r="G17" i="20"/>
  <c r="E18" i="20"/>
  <c r="F18" i="20"/>
  <c r="G18" i="20"/>
  <c r="E19" i="20"/>
  <c r="F19" i="20"/>
  <c r="G19" i="20"/>
  <c r="E20" i="20"/>
  <c r="F20" i="20"/>
  <c r="G20" i="20"/>
  <c r="E21" i="20"/>
  <c r="F21" i="20"/>
  <c r="G21" i="20"/>
  <c r="E22" i="20"/>
  <c r="F22" i="20"/>
  <c r="G22" i="20"/>
  <c r="E23" i="20"/>
  <c r="F23" i="20"/>
  <c r="G23" i="20"/>
  <c r="E24" i="20"/>
  <c r="F24" i="20"/>
  <c r="G24" i="20"/>
  <c r="E25" i="20"/>
  <c r="F25" i="20"/>
  <c r="G25" i="20"/>
  <c r="G2" i="20"/>
  <c r="F2" i="20"/>
  <c r="E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E2" i="3"/>
  <c r="F2" i="3"/>
  <c r="G2" i="3"/>
  <c r="D3" i="3"/>
  <c r="E3" i="3"/>
  <c r="F3" i="3"/>
  <c r="G3" i="3"/>
  <c r="D4" i="3"/>
  <c r="E4" i="3"/>
  <c r="F4" i="3"/>
  <c r="G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D1" i="10"/>
  <c r="E1" i="10" s="1"/>
  <c r="F1" i="10" s="1"/>
  <c r="G1" i="10" s="1"/>
  <c r="H1" i="10" s="1"/>
  <c r="I1" i="10" s="1"/>
  <c r="J1" i="10" s="1"/>
  <c r="K1" i="10" s="1"/>
  <c r="C1" i="10"/>
</calcChain>
</file>

<file path=xl/sharedStrings.xml><?xml version="1.0" encoding="utf-8"?>
<sst xmlns="http://schemas.openxmlformats.org/spreadsheetml/2006/main" count="265" uniqueCount="177">
  <si>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</si>
  <si>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</si>
  <si>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</si>
  <si>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</si>
  <si>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</si>
  <si>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</si>
  <si>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</si>
  <si>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</si>
  <si>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</si>
  <si>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dh</t>
  </si>
  <si>
    <t>is_inflow</t>
  </si>
  <si>
    <t>h2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</si>
  <si>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</si>
  <si>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</si>
  <si>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</si>
  <si>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</si>
  <si>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</si>
  <si>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</si>
  <si>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</si>
  <si>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</si>
  <si>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</si>
  <si>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</si>
  <si>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</si>
  <si>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ngchp</t>
  </si>
  <si>
    <t>hp1</t>
  </si>
  <si>
    <t>p2x1</t>
  </si>
  <si>
    <t>pv1</t>
  </si>
  <si>
    <t>source</t>
  </si>
  <si>
    <t>source_sink</t>
  </si>
  <si>
    <t>sink</t>
  </si>
  <si>
    <t>t</t>
  </si>
  <si>
    <t>market</t>
  </si>
  <si>
    <t>is_res</t>
  </si>
  <si>
    <t>conversion_coeff</t>
  </si>
  <si>
    <t>dh2</t>
  </si>
  <si>
    <t>dh_tra</t>
  </si>
  <si>
    <t>reserve</t>
  </si>
  <si>
    <t>energy</t>
  </si>
  <si>
    <t>fcr_n</t>
  </si>
  <si>
    <t>fcr_up</t>
  </si>
  <si>
    <t>fcr_dn</t>
  </si>
  <si>
    <t>direction</t>
  </si>
  <si>
    <t>none</t>
  </si>
  <si>
    <t>up_down</t>
  </si>
  <si>
    <t>name</t>
  </si>
  <si>
    <t>propability</t>
  </si>
  <si>
    <t>s1</t>
  </si>
  <si>
    <t>s2</t>
  </si>
  <si>
    <t>s3</t>
  </si>
  <si>
    <t>dh2,s1</t>
  </si>
  <si>
    <t>h2,s1</t>
  </si>
  <si>
    <t>dh2,s2</t>
  </si>
  <si>
    <t>h2,s2</t>
  </si>
  <si>
    <t>dh2,s3</t>
  </si>
  <si>
    <t>h2,s3</t>
  </si>
  <si>
    <t>npe,s1</t>
  </si>
  <si>
    <t>fcr_n,s1</t>
  </si>
  <si>
    <t>fcr_up,s1</t>
  </si>
  <si>
    <t>fcr_dn,s1</t>
  </si>
  <si>
    <t>npe,s2</t>
  </si>
  <si>
    <t>fcr_n,s2</t>
  </si>
  <si>
    <t>fcr_up,s2</t>
  </si>
  <si>
    <t>fcr_dn,s2</t>
  </si>
  <si>
    <t>npe,s3</t>
  </si>
  <si>
    <t>fcr_n,s3</t>
  </si>
  <si>
    <t>fcr_up,s3</t>
  </si>
  <si>
    <t>fcr_dn,s3</t>
  </si>
  <si>
    <t>start_cost</t>
  </si>
  <si>
    <t>min_online</t>
  </si>
  <si>
    <t>min_offline</t>
  </si>
  <si>
    <t>ngchp,op</t>
  </si>
  <si>
    <t>ngchp,eff</t>
  </si>
  <si>
    <t>ramp_factor</t>
  </si>
  <si>
    <t>fast</t>
  </si>
  <si>
    <t>slow</t>
  </si>
  <si>
    <t>reserve_type</t>
  </si>
  <si>
    <t>res_up</t>
  </si>
  <si>
    <t>res_down</t>
  </si>
  <si>
    <t>pv2</t>
  </si>
  <si>
    <t>pv2,s1</t>
  </si>
  <si>
    <t>pv2,s2</t>
  </si>
  <si>
    <t>pv2,s3</t>
  </si>
  <si>
    <t>is_cf_fix</t>
  </si>
  <si>
    <t>c1</t>
  </si>
  <si>
    <t>eq</t>
  </si>
  <si>
    <t>c1,ngchp,elc,s1</t>
  </si>
  <si>
    <t>c1,ngchp,elc,s2</t>
  </si>
  <si>
    <t>c1,ngchp,elc,s3</t>
  </si>
  <si>
    <t>c1,ngchp,dh,s1</t>
  </si>
  <si>
    <t>c1,ngchp,dh,s2</t>
  </si>
  <si>
    <t>c1,ngchp,dh,s3</t>
  </si>
  <si>
    <t>c1,s1</t>
  </si>
  <si>
    <t>c1,s2</t>
  </si>
  <si>
    <t>c1,s3</t>
  </si>
  <si>
    <t>initial_state</t>
  </si>
  <si>
    <t>hp1,elc,s1</t>
  </si>
  <si>
    <t>hp1,elc,s2</t>
  </si>
  <si>
    <t>hp1,elc,s3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</si>
  <si>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</si>
  <si>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</si>
  <si>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</si>
  <si>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</si>
  <si>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</si>
  <si>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</si>
  <si>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</si>
  <si>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</si>
  <si>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ng, ALL</t>
  </si>
  <si>
    <t>pv1,s1,s2,s3</t>
  </si>
  <si>
    <t>residual_value</t>
  </si>
  <si>
    <t>npe,up,s1</t>
  </si>
  <si>
    <t>npe,up,s2</t>
  </si>
  <si>
    <t>npe,up,s3</t>
  </si>
  <si>
    <t>npe,dw,s1</t>
  </si>
  <si>
    <t>npe,dw,s2</t>
  </si>
  <si>
    <t>npe,dw,s3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</si>
  <si>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</si>
  <si>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</si>
  <si>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</si>
  <si>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</si>
  <si>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</si>
  <si>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</si>
  <si>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</si>
  <si>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</si>
  <si>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</si>
  <si>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</si>
  <si>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</si>
  <si>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p1</t>
  </si>
  <si>
    <t>elc_res</t>
  </si>
  <si>
    <t>node1</t>
  </si>
  <si>
    <t>node2</t>
  </si>
  <si>
    <t>state_min</t>
  </si>
  <si>
    <t>is_temp</t>
  </si>
  <si>
    <t>delay_t</t>
  </si>
  <si>
    <t>min_flow</t>
  </si>
  <si>
    <t>max_flow</t>
  </si>
  <si>
    <t>initial_load</t>
  </si>
  <si>
    <t>use_reserves</t>
  </si>
  <si>
    <t>use_reserve_realisation</t>
  </si>
  <si>
    <t>use_node_dummy_variables</t>
  </si>
  <si>
    <t>use_ramp_dummy_variables</t>
  </si>
  <si>
    <t>use_market_bids</t>
  </si>
  <si>
    <t>common_scenario_name</t>
  </si>
  <si>
    <t>scenario_independent_online</t>
  </si>
  <si>
    <t>scenario_independent_state</t>
  </si>
  <si>
    <t>initial_flow</t>
  </si>
  <si>
    <t>node_dummy_variable_cost</t>
  </si>
  <si>
    <t>ramp_dummy_variable_cost</t>
  </si>
  <si>
    <t>heat_pump_1,s1</t>
  </si>
  <si>
    <t>heat_pump_1,s2</t>
  </si>
  <si>
    <t>heat_pump_1,s3</t>
  </si>
  <si>
    <t>hydro1_res</t>
  </si>
  <si>
    <t>hydro2_res</t>
  </si>
  <si>
    <t>hydro3_res</t>
  </si>
  <si>
    <t>hydro4_res</t>
  </si>
  <si>
    <t>hydro5_res</t>
  </si>
  <si>
    <t>hydro1</t>
  </si>
  <si>
    <t>hydro2</t>
  </si>
  <si>
    <t>hydro3</t>
  </si>
  <si>
    <t>hydro4</t>
  </si>
  <si>
    <t>hydro5</t>
  </si>
  <si>
    <t>hydro1_spill</t>
  </si>
  <si>
    <t>hydro2_spill</t>
  </si>
  <si>
    <t>hydro3_spill</t>
  </si>
  <si>
    <t>hydro4_spill</t>
  </si>
  <si>
    <t>hydro5_spill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</si>
  <si>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</si>
  <si>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</si>
  <si>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</si>
  <si>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</si>
  <si>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</si>
  <si>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</si>
  <si>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</si>
  <si>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</si>
  <si>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</si>
  <si>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</si>
  <si>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</si>
  <si>
    <t>deviation_penalty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</si>
</sst>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87"/>
  <sheetViews>
    <sheetView topLeftCell="A38" workbookViewId="0">
      <selection activeCell="C51" sqref="C51"/>
    </sheetView>
  </sheetViews>
  <sheetFormatPr defaultRowHeight="14.4" x14ac:dyDescent="0.3"/>
  <cols>
    <col min="1" max="1" width="14.33203125" style="4" bestFit="1" customWidth="1"/>
  </cols>
  <sheetData>
    <row r="1" spans="1:1" x14ac:dyDescent="0.3">
      <c r="A1" s="4" t="s">
        <v>30</v>
      </c>
    </row>
    <row r="2" spans="1:1" x14ac:dyDescent="0.3">
      <c r="A2" s="4">
        <v>45383</v>
      </c>
    </row>
    <row r="3" spans="1:1" x14ac:dyDescent="0.3">
      <c r="A3" s="4">
        <v>45383.041666666664</v>
      </c>
    </row>
    <row r="4" spans="1:1" x14ac:dyDescent="0.3">
      <c r="A4" s="4">
        <v>45383.083333333336</v>
      </c>
    </row>
    <row r="5" spans="1:1" x14ac:dyDescent="0.3">
      <c r="A5" s="4">
        <v>45383.125</v>
      </c>
    </row>
    <row r="6" spans="1:1" x14ac:dyDescent="0.3">
      <c r="A6" s="4">
        <v>45383.166666666664</v>
      </c>
    </row>
    <row r="7" spans="1:1" x14ac:dyDescent="0.3">
      <c r="A7" s="4">
        <v>45383.208333333336</v>
      </c>
    </row>
    <row r="8" spans="1:1" x14ac:dyDescent="0.3">
      <c r="A8" s="4">
        <v>45383.25</v>
      </c>
    </row>
    <row r="9" spans="1:1" x14ac:dyDescent="0.3">
      <c r="A9" s="4">
        <v>45383.291666666664</v>
      </c>
    </row>
    <row r="10" spans="1:1" x14ac:dyDescent="0.3">
      <c r="A10" s="4">
        <v>45383.333333333336</v>
      </c>
    </row>
    <row r="11" spans="1:1" x14ac:dyDescent="0.3">
      <c r="A11" s="4">
        <v>45383.375</v>
      </c>
    </row>
    <row r="12" spans="1:1" x14ac:dyDescent="0.3">
      <c r="A12" s="4">
        <v>45383.416666666664</v>
      </c>
    </row>
    <row r="13" spans="1:1" x14ac:dyDescent="0.3">
      <c r="A13" s="4">
        <v>45383.458333333336</v>
      </c>
    </row>
    <row r="14" spans="1:1" x14ac:dyDescent="0.3">
      <c r="A14" s="4">
        <v>45383.5</v>
      </c>
    </row>
    <row r="15" spans="1:1" x14ac:dyDescent="0.3">
      <c r="A15" s="4">
        <v>45383.541666666664</v>
      </c>
    </row>
    <row r="16" spans="1:1" x14ac:dyDescent="0.3">
      <c r="A16" s="4">
        <v>45383.583333333336</v>
      </c>
    </row>
    <row r="17" spans="1:1" x14ac:dyDescent="0.3">
      <c r="A17" s="4">
        <v>45383.625</v>
      </c>
    </row>
    <row r="18" spans="1:1" x14ac:dyDescent="0.3">
      <c r="A18" s="4">
        <v>45383.666666666664</v>
      </c>
    </row>
    <row r="19" spans="1:1" x14ac:dyDescent="0.3">
      <c r="A19" s="4">
        <v>45383.708333333336</v>
      </c>
    </row>
    <row r="20" spans="1:1" x14ac:dyDescent="0.3">
      <c r="A20" s="4">
        <v>45383.75</v>
      </c>
    </row>
    <row r="21" spans="1:1" x14ac:dyDescent="0.3">
      <c r="A21" s="4">
        <v>45383.791666666664</v>
      </c>
    </row>
    <row r="22" spans="1:1" x14ac:dyDescent="0.3">
      <c r="A22" s="4">
        <v>45383.833333333336</v>
      </c>
    </row>
    <row r="23" spans="1:1" x14ac:dyDescent="0.3">
      <c r="A23" s="4">
        <v>45383.875</v>
      </c>
    </row>
    <row r="24" spans="1:1" x14ac:dyDescent="0.3">
      <c r="A24" s="4">
        <v>45383.916666666664</v>
      </c>
    </row>
    <row r="25" spans="1:1" x14ac:dyDescent="0.3">
      <c r="A25" s="4">
        <v>45383.958333333336</v>
      </c>
    </row>
    <row r="26" spans="1:1" x14ac:dyDescent="0.3">
      <c r="A26" s="4">
        <v>45384</v>
      </c>
    </row>
    <row r="27" spans="1:1" x14ac:dyDescent="0.3">
      <c r="A27" s="4">
        <v>45384.041666666664</v>
      </c>
    </row>
    <row r="28" spans="1:1" x14ac:dyDescent="0.3">
      <c r="A28" s="4">
        <v>45384.083333333336</v>
      </c>
    </row>
    <row r="29" spans="1:1" x14ac:dyDescent="0.3">
      <c r="A29" s="4">
        <v>45384.125</v>
      </c>
    </row>
    <row r="30" spans="1:1" x14ac:dyDescent="0.3">
      <c r="A30" s="4">
        <v>45384.166666666664</v>
      </c>
    </row>
    <row r="31" spans="1:1" x14ac:dyDescent="0.3">
      <c r="A31" s="4">
        <v>45384.208333333336</v>
      </c>
    </row>
    <row r="32" spans="1:1" x14ac:dyDescent="0.3">
      <c r="A32" s="4">
        <v>45384.25</v>
      </c>
    </row>
    <row r="33" spans="1:1" x14ac:dyDescent="0.3">
      <c r="A33" s="4">
        <v>45384.291666666664</v>
      </c>
    </row>
    <row r="34" spans="1:1" x14ac:dyDescent="0.3">
      <c r="A34" s="4">
        <v>45384.333333333336</v>
      </c>
    </row>
    <row r="35" spans="1:1" x14ac:dyDescent="0.3">
      <c r="A35" s="4">
        <v>45384.375</v>
      </c>
    </row>
    <row r="36" spans="1:1" x14ac:dyDescent="0.3">
      <c r="A36" s="4">
        <v>45384.416666666664</v>
      </c>
    </row>
    <row r="37" spans="1:1" x14ac:dyDescent="0.3">
      <c r="A37" s="4">
        <v>45384.458333333336</v>
      </c>
    </row>
    <row r="38" spans="1:1" x14ac:dyDescent="0.3">
      <c r="A38" s="4">
        <v>45384.5</v>
      </c>
    </row>
    <row r="39" spans="1:1" x14ac:dyDescent="0.3">
      <c r="A39" s="4">
        <v>45384.541666666664</v>
      </c>
    </row>
    <row r="40" spans="1:1" x14ac:dyDescent="0.3">
      <c r="A40" s="4">
        <v>45384.583333333336</v>
      </c>
    </row>
    <row r="41" spans="1:1" x14ac:dyDescent="0.3">
      <c r="A41" s="4">
        <v>45384.625</v>
      </c>
    </row>
    <row r="42" spans="1:1" x14ac:dyDescent="0.3">
      <c r="A42" s="4">
        <v>45384.666666666664</v>
      </c>
    </row>
    <row r="43" spans="1:1" x14ac:dyDescent="0.3">
      <c r="A43" s="4">
        <v>45384.708333333336</v>
      </c>
    </row>
    <row r="44" spans="1:1" x14ac:dyDescent="0.3">
      <c r="A44" s="4">
        <v>45384.75</v>
      </c>
    </row>
    <row r="45" spans="1:1" x14ac:dyDescent="0.3">
      <c r="A45" s="4">
        <v>45384.791666666664</v>
      </c>
    </row>
    <row r="46" spans="1:1" x14ac:dyDescent="0.3">
      <c r="A46" s="4">
        <v>45384.833333333336</v>
      </c>
    </row>
    <row r="47" spans="1:1" x14ac:dyDescent="0.3">
      <c r="A47" s="4">
        <v>45384.875</v>
      </c>
    </row>
    <row r="48" spans="1:1" x14ac:dyDescent="0.3">
      <c r="A48" s="4">
        <v>45384.916666666664</v>
      </c>
    </row>
    <row r="49" spans="1:1" x14ac:dyDescent="0.3">
      <c r="A49" s="4">
        <v>45384.958333333336</v>
      </c>
    </row>
    <row r="50" spans="1:1" x14ac:dyDescent="0.3">
      <c r="A50" s="4">
        <v>45385.125</v>
      </c>
    </row>
    <row r="51" spans="1:1" x14ac:dyDescent="0.3">
      <c r="A51" s="4">
        <v>45385.291666666664</v>
      </c>
    </row>
    <row r="52" spans="1:1" x14ac:dyDescent="0.3">
      <c r="A52" s="4">
        <v>45385.458333333336</v>
      </c>
    </row>
    <row r="53" spans="1:1" x14ac:dyDescent="0.3">
      <c r="A53" s="4">
        <v>45385.625</v>
      </c>
    </row>
    <row r="54" spans="1:1" x14ac:dyDescent="0.3">
      <c r="A54" s="4">
        <v>45385.791666666664</v>
      </c>
    </row>
    <row r="55" spans="1:1" x14ac:dyDescent="0.3">
      <c r="A55" s="4">
        <v>45385.958333333336</v>
      </c>
    </row>
    <row r="56" spans="1:1" x14ac:dyDescent="0.3">
      <c r="A56" s="4">
        <v>45386.125</v>
      </c>
    </row>
    <row r="57" spans="1:1" x14ac:dyDescent="0.3">
      <c r="A57" s="4">
        <v>45386.291666666664</v>
      </c>
    </row>
    <row r="58" spans="1:1" x14ac:dyDescent="0.3">
      <c r="A58" s="4">
        <v>45386.458333333336</v>
      </c>
    </row>
    <row r="59" spans="1:1" x14ac:dyDescent="0.3">
      <c r="A59" s="4">
        <v>45386.625</v>
      </c>
    </row>
    <row r="60" spans="1:1" x14ac:dyDescent="0.3">
      <c r="A60" s="4">
        <v>45386.791666666664</v>
      </c>
    </row>
    <row r="61" spans="1:1" x14ac:dyDescent="0.3">
      <c r="A61" s="4">
        <v>45386.958333333336</v>
      </c>
    </row>
    <row r="62" spans="1:1" x14ac:dyDescent="0.3">
      <c r="A62" s="4">
        <v>45387.958333333336</v>
      </c>
    </row>
    <row r="63" spans="1:1" x14ac:dyDescent="0.3">
      <c r="A63" s="4">
        <v>45388.958333333336</v>
      </c>
    </row>
    <row r="64" spans="1:1" x14ac:dyDescent="0.3">
      <c r="A64" s="4">
        <v>45389.958333333336</v>
      </c>
    </row>
    <row r="65" spans="1:1" x14ac:dyDescent="0.3">
      <c r="A65" s="4">
        <v>45390.958333333336</v>
      </c>
    </row>
    <row r="66" spans="1:1" x14ac:dyDescent="0.3">
      <c r="A66" s="4">
        <v>45391.958333333336</v>
      </c>
    </row>
    <row r="67" spans="1:1" x14ac:dyDescent="0.3">
      <c r="A67" s="4">
        <v>45392.958333333336</v>
      </c>
    </row>
    <row r="68" spans="1:1" x14ac:dyDescent="0.3">
      <c r="A68" s="4">
        <v>45393.958333333336</v>
      </c>
    </row>
    <row r="69" spans="1:1" x14ac:dyDescent="0.3">
      <c r="A69" s="4">
        <v>45394.958333333336</v>
      </c>
    </row>
    <row r="70" spans="1:1" x14ac:dyDescent="0.3">
      <c r="A70" s="4">
        <v>45395.958333333336</v>
      </c>
    </row>
    <row r="71" spans="1:1" x14ac:dyDescent="0.3">
      <c r="A71" s="4">
        <v>45396.958333333336</v>
      </c>
    </row>
    <row r="72" spans="1:1" x14ac:dyDescent="0.3">
      <c r="A72" s="4">
        <v>45397.958333333336</v>
      </c>
    </row>
    <row r="73" spans="1:1" x14ac:dyDescent="0.3">
      <c r="A73" s="4">
        <v>45398.958333333336</v>
      </c>
    </row>
    <row r="74" spans="1:1" x14ac:dyDescent="0.3">
      <c r="A74" s="4">
        <v>45399.958333333336</v>
      </c>
    </row>
    <row r="75" spans="1:1" x14ac:dyDescent="0.3">
      <c r="A75" s="4">
        <v>45400.958333333336</v>
      </c>
    </row>
    <row r="76" spans="1:1" x14ac:dyDescent="0.3">
      <c r="A76" s="4">
        <v>45401.958333333336</v>
      </c>
    </row>
    <row r="77" spans="1:1" x14ac:dyDescent="0.3">
      <c r="A77" s="4">
        <v>45402.958333333336</v>
      </c>
    </row>
    <row r="78" spans="1:1" x14ac:dyDescent="0.3">
      <c r="A78" s="4">
        <v>45403.958333333336</v>
      </c>
    </row>
    <row r="79" spans="1:1" x14ac:dyDescent="0.3">
      <c r="A79" s="4">
        <v>45404.958333333336</v>
      </c>
    </row>
    <row r="80" spans="1:1" x14ac:dyDescent="0.3">
      <c r="A80" s="4">
        <v>45405.958333333336</v>
      </c>
    </row>
    <row r="81" spans="1:1" x14ac:dyDescent="0.3">
      <c r="A81" s="4">
        <v>45406.958333333336</v>
      </c>
    </row>
    <row r="82" spans="1:1" x14ac:dyDescent="0.3">
      <c r="A82" s="4">
        <v>45407.958333333336</v>
      </c>
    </row>
    <row r="83" spans="1:1" x14ac:dyDescent="0.3">
      <c r="A83" s="4">
        <v>45408.958333333336</v>
      </c>
    </row>
    <row r="84" spans="1:1" x14ac:dyDescent="0.3">
      <c r="A84" s="4">
        <v>45409.958333333336</v>
      </c>
    </row>
    <row r="85" spans="1:1" x14ac:dyDescent="0.3">
      <c r="A85" s="4">
        <v>45410.958333333336</v>
      </c>
    </row>
    <row r="86" spans="1:1" x14ac:dyDescent="0.3">
      <c r="A86" s="4">
        <v>45411.958333333336</v>
      </c>
    </row>
    <row r="87" spans="1:1" x14ac:dyDescent="0.3">
      <c r="A87" s="4">
        <v>45412.958333333336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B08-6930-4D2B-BCBB-C78CE759E704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8" bestFit="1" customWidth="1"/>
  </cols>
  <sheetData>
    <row r="1" spans="1:2" x14ac:dyDescent="0.3">
      <c r="A1" s="2" t="s">
        <v>99</v>
      </c>
      <c r="B1" s="2" t="s">
        <v>100</v>
      </c>
    </row>
    <row r="2" spans="1:2" x14ac:dyDescent="0.3">
      <c r="A2" t="s">
        <v>140</v>
      </c>
      <c r="B2">
        <v>1</v>
      </c>
    </row>
    <row r="3" spans="1:2" x14ac:dyDescent="0.3">
      <c r="A3" t="s">
        <v>136</v>
      </c>
      <c r="B3">
        <v>1</v>
      </c>
    </row>
    <row r="4" spans="1:2" x14ac:dyDescent="0.3">
      <c r="A4" t="s">
        <v>137</v>
      </c>
      <c r="B4">
        <v>1</v>
      </c>
    </row>
    <row r="5" spans="1:2" x14ac:dyDescent="0.3">
      <c r="A5" t="s">
        <v>138</v>
      </c>
      <c r="B5">
        <v>1</v>
      </c>
    </row>
    <row r="6" spans="1:2" x14ac:dyDescent="0.3">
      <c r="A6" t="s">
        <v>139</v>
      </c>
      <c r="B6">
        <v>1</v>
      </c>
    </row>
    <row r="7" spans="1:2" x14ac:dyDescent="0.3">
      <c r="A7" t="s">
        <v>145</v>
      </c>
      <c r="B7">
        <v>10000</v>
      </c>
    </row>
    <row r="8" spans="1:2" x14ac:dyDescent="0.3">
      <c r="A8" t="s">
        <v>146</v>
      </c>
      <c r="B8">
        <v>10000</v>
      </c>
    </row>
    <row r="9" spans="1:2" x14ac:dyDescent="0.3">
      <c r="A9" t="s">
        <v>169</v>
      </c>
      <c r="B9">
        <v>0</v>
      </c>
    </row>
    <row r="10" spans="1:2" x14ac:dyDescent="0.3">
      <c r="A10" t="s">
        <v>170</v>
      </c>
      <c r="B10">
        <v>0</v>
      </c>
    </row>
    <row r="11" spans="1:2" x14ac:dyDescent="0.3">
      <c r="A11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8"/>
  <sheetViews>
    <sheetView workbookViewId="0">
      <selection activeCell="O3" sqref="O3"/>
    </sheetView>
  </sheetViews>
  <sheetFormatPr defaultRowHeight="14.4" x14ac:dyDescent="0.3"/>
  <cols>
    <col min="1" max="1" width="5.554687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32</v>
      </c>
      <c r="E1" s="2" t="s">
        <v>6</v>
      </c>
      <c r="F1" s="2" t="s">
        <v>10</v>
      </c>
      <c r="G1" s="2" t="s">
        <v>3</v>
      </c>
      <c r="H1" s="2" t="s">
        <v>130</v>
      </c>
      <c r="I1" s="2" t="s">
        <v>4</v>
      </c>
      <c r="J1" s="2" t="s">
        <v>5</v>
      </c>
      <c r="K1" s="2" t="s">
        <v>94</v>
      </c>
      <c r="L1" s="2" t="s">
        <v>104</v>
      </c>
      <c r="M1" s="2" t="s">
        <v>143</v>
      </c>
      <c r="N1" s="2" t="s">
        <v>131</v>
      </c>
      <c r="O1" s="2" t="s">
        <v>166</v>
      </c>
      <c r="P1" s="2" t="s">
        <v>108</v>
      </c>
    </row>
    <row r="2" spans="1:16" x14ac:dyDescent="0.3">
      <c r="A2" t="s">
        <v>150</v>
      </c>
      <c r="B2" s="3">
        <v>0</v>
      </c>
      <c r="C2" s="3">
        <v>1</v>
      </c>
      <c r="D2" s="3">
        <v>0</v>
      </c>
      <c r="E2" s="3">
        <v>0</v>
      </c>
      <c r="F2" s="3">
        <v>1</v>
      </c>
      <c r="G2">
        <v>4000</v>
      </c>
      <c r="H2">
        <v>2200</v>
      </c>
      <c r="I2" s="3">
        <v>1000</v>
      </c>
      <c r="J2" s="3">
        <v>1</v>
      </c>
      <c r="K2" s="3">
        <v>5</v>
      </c>
      <c r="L2" s="3">
        <v>0</v>
      </c>
      <c r="M2" s="3">
        <v>0</v>
      </c>
      <c r="N2" s="3">
        <v>0</v>
      </c>
      <c r="O2" s="3">
        <v>1</v>
      </c>
      <c r="P2" s="3">
        <v>0</v>
      </c>
    </row>
    <row r="3" spans="1:16" x14ac:dyDescent="0.3">
      <c r="A3" t="s">
        <v>151</v>
      </c>
      <c r="B3" s="3">
        <v>0</v>
      </c>
      <c r="C3" s="3">
        <v>1</v>
      </c>
      <c r="D3" s="3">
        <v>0</v>
      </c>
      <c r="E3" s="3">
        <v>0</v>
      </c>
      <c r="F3" s="3">
        <v>1</v>
      </c>
      <c r="G3">
        <v>4200</v>
      </c>
      <c r="H3">
        <v>700</v>
      </c>
      <c r="I3" s="3">
        <v>1</v>
      </c>
      <c r="J3" s="3">
        <v>1</v>
      </c>
      <c r="K3" s="3">
        <v>5</v>
      </c>
      <c r="L3" s="3">
        <v>0</v>
      </c>
      <c r="M3" s="3">
        <v>0</v>
      </c>
      <c r="N3" s="3">
        <v>0</v>
      </c>
      <c r="O3" s="3">
        <v>1</v>
      </c>
      <c r="P3" s="3">
        <v>0</v>
      </c>
    </row>
    <row r="4" spans="1:16" x14ac:dyDescent="0.3">
      <c r="A4" t="s">
        <v>152</v>
      </c>
      <c r="B4" s="3">
        <v>0</v>
      </c>
      <c r="C4" s="3">
        <v>1</v>
      </c>
      <c r="D4" s="3">
        <v>0</v>
      </c>
      <c r="E4" s="3">
        <v>0</v>
      </c>
      <c r="F4" s="3">
        <v>1</v>
      </c>
      <c r="G4">
        <v>6000</v>
      </c>
      <c r="H4">
        <v>1600</v>
      </c>
      <c r="I4" s="3">
        <v>1</v>
      </c>
      <c r="J4" s="3">
        <v>1</v>
      </c>
      <c r="K4" s="3">
        <v>5</v>
      </c>
      <c r="L4" s="3">
        <v>0</v>
      </c>
      <c r="M4" s="3">
        <v>0</v>
      </c>
      <c r="N4" s="3">
        <v>0</v>
      </c>
      <c r="O4" s="3">
        <v>1</v>
      </c>
      <c r="P4" s="3">
        <v>0</v>
      </c>
    </row>
    <row r="5" spans="1:16" x14ac:dyDescent="0.3">
      <c r="A5" t="s">
        <v>153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>
        <v>10000</v>
      </c>
      <c r="H5">
        <v>7100</v>
      </c>
      <c r="I5" s="3">
        <v>1</v>
      </c>
      <c r="J5" s="3">
        <v>1</v>
      </c>
      <c r="K5" s="3">
        <v>5</v>
      </c>
      <c r="L5" s="3">
        <v>0</v>
      </c>
      <c r="M5" s="3">
        <v>0</v>
      </c>
      <c r="N5" s="3">
        <v>0</v>
      </c>
      <c r="O5" s="3">
        <v>1</v>
      </c>
      <c r="P5" s="3">
        <v>0</v>
      </c>
    </row>
    <row r="6" spans="1:16" x14ac:dyDescent="0.3">
      <c r="A6" t="s">
        <v>154</v>
      </c>
      <c r="B6" s="3">
        <v>0</v>
      </c>
      <c r="C6" s="3">
        <v>1</v>
      </c>
      <c r="D6" s="3">
        <v>0</v>
      </c>
      <c r="E6" s="3">
        <v>0</v>
      </c>
      <c r="F6" s="3">
        <v>1</v>
      </c>
      <c r="G6">
        <v>20000</v>
      </c>
      <c r="H6">
        <v>15000</v>
      </c>
      <c r="I6" s="3">
        <v>1</v>
      </c>
      <c r="J6" s="3">
        <v>1</v>
      </c>
      <c r="K6" s="3">
        <v>5</v>
      </c>
      <c r="L6" s="3">
        <v>0</v>
      </c>
      <c r="M6" s="3">
        <v>0</v>
      </c>
      <c r="N6" s="3">
        <v>0</v>
      </c>
      <c r="O6" s="3">
        <v>1</v>
      </c>
      <c r="P6" s="3">
        <v>0</v>
      </c>
    </row>
    <row r="7" spans="1:16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6" x14ac:dyDescent="0.3">
      <c r="M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11"/>
  <sheetViews>
    <sheetView workbookViewId="0">
      <selection activeCell="U21" sqref="U21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7.33203125" customWidth="1"/>
    <col min="8" max="8" width="10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2" customFormat="1" x14ac:dyDescent="0.3">
      <c r="A1" s="2" t="s">
        <v>13</v>
      </c>
      <c r="B1" s="2" t="s">
        <v>14</v>
      </c>
      <c r="C1" s="2" t="s">
        <v>82</v>
      </c>
      <c r="D1" s="2" t="s">
        <v>15</v>
      </c>
      <c r="E1" s="2" t="s">
        <v>32</v>
      </c>
      <c r="F1" s="2" t="s">
        <v>18</v>
      </c>
      <c r="G1" s="2" t="s">
        <v>17</v>
      </c>
      <c r="H1" s="2" t="s">
        <v>20</v>
      </c>
      <c r="I1" s="2" t="s">
        <v>19</v>
      </c>
      <c r="J1" s="2" t="s">
        <v>67</v>
      </c>
      <c r="K1" s="2" t="s">
        <v>68</v>
      </c>
      <c r="L1" s="2" t="s">
        <v>69</v>
      </c>
      <c r="M1" s="2" t="s">
        <v>115</v>
      </c>
      <c r="N1" s="2" t="s">
        <v>116</v>
      </c>
      <c r="O1" s="2" t="s">
        <v>94</v>
      </c>
      <c r="P1" s="2" t="s">
        <v>142</v>
      </c>
      <c r="Q1" s="2" t="s">
        <v>98</v>
      </c>
    </row>
    <row r="2" spans="1:17" x14ac:dyDescent="0.3">
      <c r="A2" t="s">
        <v>155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1.0735749999999999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7" x14ac:dyDescent="0.3">
      <c r="A3" t="s">
        <v>156</v>
      </c>
      <c r="B3" s="3">
        <v>0</v>
      </c>
      <c r="C3" s="3">
        <v>0</v>
      </c>
      <c r="D3" s="3">
        <v>0</v>
      </c>
      <c r="E3" s="3">
        <v>1</v>
      </c>
      <c r="F3" s="3">
        <v>1</v>
      </c>
      <c r="G3" s="3">
        <v>1.1104728625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</row>
    <row r="4" spans="1:17" x14ac:dyDescent="0.3">
      <c r="A4" t="s">
        <v>157</v>
      </c>
      <c r="B4" s="3">
        <v>0</v>
      </c>
      <c r="C4" s="3">
        <v>0</v>
      </c>
      <c r="D4" s="3">
        <v>0</v>
      </c>
      <c r="E4" s="3">
        <v>1</v>
      </c>
      <c r="F4" s="3">
        <v>1</v>
      </c>
      <c r="G4" s="3">
        <v>1.0982962000000001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x14ac:dyDescent="0.3">
      <c r="A5" t="s">
        <v>158</v>
      </c>
      <c r="B5" s="3">
        <v>0</v>
      </c>
      <c r="C5" s="3">
        <v>0</v>
      </c>
      <c r="D5" s="3">
        <v>0</v>
      </c>
      <c r="E5" s="3">
        <v>1</v>
      </c>
      <c r="F5" s="3">
        <v>1</v>
      </c>
      <c r="G5" s="3">
        <v>1.0860950125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1:17" x14ac:dyDescent="0.3">
      <c r="A6" t="s">
        <v>159</v>
      </c>
      <c r="B6" s="3">
        <v>0</v>
      </c>
      <c r="C6" s="3">
        <v>0</v>
      </c>
      <c r="D6" s="3">
        <v>0</v>
      </c>
      <c r="E6" s="3">
        <v>1</v>
      </c>
      <c r="F6" s="3">
        <v>1</v>
      </c>
      <c r="G6" s="3">
        <v>3.9396960000000002E-2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x14ac:dyDescent="0.3">
      <c r="A7" t="s">
        <v>160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3">
        <v>1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x14ac:dyDescent="0.3">
      <c r="A8" t="s">
        <v>161</v>
      </c>
      <c r="B8" s="3">
        <v>0</v>
      </c>
      <c r="C8" s="3">
        <v>0</v>
      </c>
      <c r="D8" s="3">
        <v>0</v>
      </c>
      <c r="E8" s="3">
        <v>0</v>
      </c>
      <c r="F8" s="3">
        <v>1</v>
      </c>
      <c r="G8" s="3">
        <v>1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3">
      <c r="A9" t="s">
        <v>162</v>
      </c>
      <c r="B9" s="3">
        <v>0</v>
      </c>
      <c r="C9" s="3">
        <v>0</v>
      </c>
      <c r="D9" s="3">
        <v>0</v>
      </c>
      <c r="E9" s="3">
        <v>0</v>
      </c>
      <c r="F9" s="3">
        <v>1</v>
      </c>
      <c r="G9" s="3">
        <v>1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x14ac:dyDescent="0.3">
      <c r="A10" t="s">
        <v>163</v>
      </c>
      <c r="B10" s="3">
        <v>0</v>
      </c>
      <c r="C10" s="3">
        <v>0</v>
      </c>
      <c r="D10" s="3">
        <v>0</v>
      </c>
      <c r="E10" s="3">
        <v>0</v>
      </c>
      <c r="F10" s="3">
        <v>1</v>
      </c>
      <c r="G10" s="3">
        <v>1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 x14ac:dyDescent="0.3">
      <c r="A11" t="s">
        <v>164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5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2" t="s">
        <v>168</v>
      </c>
      <c r="B1" s="2" t="s">
        <v>117</v>
      </c>
      <c r="C1" s="2" t="s">
        <v>118</v>
      </c>
    </row>
    <row r="2" spans="1:3" x14ac:dyDescent="0.3">
      <c r="A2" t="s">
        <v>13</v>
      </c>
      <c r="B2" t="s">
        <v>23</v>
      </c>
      <c r="C2" t="s">
        <v>126</v>
      </c>
    </row>
    <row r="3" spans="1:3" x14ac:dyDescent="0.3">
      <c r="A3" t="s">
        <v>13</v>
      </c>
      <c r="B3" t="s">
        <v>24</v>
      </c>
      <c r="C3" t="s">
        <v>126</v>
      </c>
    </row>
    <row r="4" spans="1:3" x14ac:dyDescent="0.3">
      <c r="A4" t="s">
        <v>13</v>
      </c>
      <c r="B4" t="s">
        <v>25</v>
      </c>
      <c r="C4" t="s">
        <v>126</v>
      </c>
    </row>
    <row r="5" spans="1:3" x14ac:dyDescent="0.3">
      <c r="A5" t="s">
        <v>0</v>
      </c>
      <c r="B5" t="s">
        <v>8</v>
      </c>
      <c r="C5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3"/>
  <sheetViews>
    <sheetView workbookViewId="0">
      <selection activeCell="F6" sqref="F6"/>
    </sheetView>
  </sheetViews>
  <sheetFormatPr defaultRowHeight="14.4" x14ac:dyDescent="0.3"/>
  <sheetData>
    <row r="1" spans="1:11" s="2" customFormat="1" x14ac:dyDescent="0.3">
      <c r="A1" s="2" t="s">
        <v>13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  <row r="2" spans="1:11" x14ac:dyDescent="0.3">
      <c r="A2" t="s">
        <v>70</v>
      </c>
      <c r="B2">
        <v>0.4</v>
      </c>
      <c r="C2">
        <v>0.6</v>
      </c>
      <c r="D2">
        <v>0.8</v>
      </c>
      <c r="E2">
        <v>0.9</v>
      </c>
      <c r="F2">
        <v>1</v>
      </c>
    </row>
    <row r="3" spans="1:11" x14ac:dyDescent="0.3">
      <c r="A3" t="s">
        <v>71</v>
      </c>
      <c r="B3">
        <v>0.8</v>
      </c>
      <c r="C3">
        <v>0.78</v>
      </c>
      <c r="D3">
        <v>0.75</v>
      </c>
      <c r="E3">
        <v>0.7</v>
      </c>
      <c r="F3">
        <v>0.65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2"/>
  <sheetViews>
    <sheetView workbookViewId="0">
      <selection activeCell="F2" sqref="F2"/>
    </sheetView>
  </sheetViews>
  <sheetFormatPr defaultColWidth="9.109375" defaultRowHeight="14.4" x14ac:dyDescent="0.3"/>
  <cols>
    <col min="1" max="1" width="7.66406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13</v>
      </c>
      <c r="B1" s="2" t="s">
        <v>28</v>
      </c>
      <c r="C1" s="2" t="s">
        <v>0</v>
      </c>
      <c r="D1" s="2" t="s">
        <v>33</v>
      </c>
      <c r="E1" s="2" t="s">
        <v>16</v>
      </c>
      <c r="F1" s="2" t="s">
        <v>165</v>
      </c>
      <c r="G1" s="2" t="s">
        <v>22</v>
      </c>
      <c r="H1" s="2" t="s">
        <v>21</v>
      </c>
      <c r="I1" s="2" t="s">
        <v>135</v>
      </c>
      <c r="J1" s="2" t="s">
        <v>144</v>
      </c>
    </row>
    <row r="2" spans="1:10" x14ac:dyDescent="0.3">
      <c r="A2" t="s">
        <v>23</v>
      </c>
      <c r="B2" t="s">
        <v>27</v>
      </c>
      <c r="C2" t="s">
        <v>7</v>
      </c>
      <c r="D2">
        <v>1</v>
      </c>
      <c r="E2">
        <v>20</v>
      </c>
      <c r="F2">
        <v>3</v>
      </c>
      <c r="G2">
        <v>0.5</v>
      </c>
      <c r="H2">
        <v>0.5</v>
      </c>
      <c r="I2">
        <v>0.6</v>
      </c>
      <c r="J2">
        <v>0.6</v>
      </c>
    </row>
    <row r="3" spans="1:10" x14ac:dyDescent="0.3">
      <c r="A3" t="s">
        <v>23</v>
      </c>
      <c r="B3" t="s">
        <v>29</v>
      </c>
      <c r="C3" t="s">
        <v>9</v>
      </c>
      <c r="D3">
        <v>1</v>
      </c>
      <c r="E3">
        <v>10</v>
      </c>
      <c r="F3">
        <v>0</v>
      </c>
      <c r="G3">
        <v>0.5</v>
      </c>
      <c r="H3">
        <v>0.5</v>
      </c>
      <c r="I3">
        <v>0.6</v>
      </c>
      <c r="J3">
        <v>0.6</v>
      </c>
    </row>
    <row r="4" spans="1:10" x14ac:dyDescent="0.3">
      <c r="A4" t="s">
        <v>23</v>
      </c>
      <c r="B4" t="s">
        <v>29</v>
      </c>
      <c r="C4" t="s">
        <v>8</v>
      </c>
      <c r="D4">
        <v>1</v>
      </c>
      <c r="E4">
        <v>8</v>
      </c>
      <c r="F4">
        <v>0</v>
      </c>
      <c r="G4">
        <v>0.5</v>
      </c>
      <c r="H4">
        <v>0.5</v>
      </c>
      <c r="I4">
        <v>0.6</v>
      </c>
      <c r="J4">
        <v>0.6</v>
      </c>
    </row>
    <row r="5" spans="1:10" x14ac:dyDescent="0.3">
      <c r="A5" t="s">
        <v>24</v>
      </c>
      <c r="B5" t="s">
        <v>27</v>
      </c>
      <c r="C5" t="s">
        <v>8</v>
      </c>
      <c r="D5">
        <v>1</v>
      </c>
      <c r="E5">
        <v>5</v>
      </c>
      <c r="F5">
        <v>15</v>
      </c>
      <c r="G5">
        <v>0.5</v>
      </c>
      <c r="H5">
        <v>0.5</v>
      </c>
      <c r="I5">
        <v>0.6</v>
      </c>
      <c r="J5">
        <v>0.6</v>
      </c>
    </row>
    <row r="6" spans="1:10" x14ac:dyDescent="0.3">
      <c r="A6" t="s">
        <v>24</v>
      </c>
      <c r="B6" t="s">
        <v>29</v>
      </c>
      <c r="C6" t="s">
        <v>9</v>
      </c>
      <c r="D6">
        <v>1</v>
      </c>
      <c r="E6">
        <v>15</v>
      </c>
      <c r="F6">
        <v>0.5</v>
      </c>
      <c r="G6">
        <v>0.5</v>
      </c>
      <c r="H6">
        <v>0.5</v>
      </c>
      <c r="I6">
        <v>0.6</v>
      </c>
      <c r="J6">
        <v>0.6</v>
      </c>
    </row>
    <row r="7" spans="1:10" x14ac:dyDescent="0.3">
      <c r="A7" t="s">
        <v>25</v>
      </c>
      <c r="B7" t="s">
        <v>27</v>
      </c>
      <c r="C7" t="s">
        <v>8</v>
      </c>
      <c r="D7">
        <v>1</v>
      </c>
      <c r="E7">
        <v>10</v>
      </c>
      <c r="F7">
        <v>15</v>
      </c>
      <c r="G7">
        <v>1</v>
      </c>
      <c r="H7">
        <v>1</v>
      </c>
      <c r="I7">
        <v>0.6</v>
      </c>
      <c r="J7">
        <v>0.6</v>
      </c>
    </row>
    <row r="8" spans="1:10" x14ac:dyDescent="0.3">
      <c r="A8" t="s">
        <v>25</v>
      </c>
      <c r="B8" t="s">
        <v>29</v>
      </c>
      <c r="C8" t="s">
        <v>11</v>
      </c>
      <c r="D8">
        <v>1</v>
      </c>
      <c r="E8">
        <v>7</v>
      </c>
      <c r="F8">
        <v>1</v>
      </c>
      <c r="G8">
        <v>1</v>
      </c>
      <c r="H8">
        <v>1</v>
      </c>
      <c r="I8">
        <v>0.6</v>
      </c>
      <c r="J8">
        <v>0.6</v>
      </c>
    </row>
    <row r="9" spans="1:10" x14ac:dyDescent="0.3">
      <c r="A9" t="s">
        <v>26</v>
      </c>
      <c r="B9" t="s">
        <v>29</v>
      </c>
      <c r="C9" t="s">
        <v>8</v>
      </c>
      <c r="D9">
        <v>1</v>
      </c>
      <c r="E9">
        <v>5</v>
      </c>
      <c r="F9">
        <v>0.5</v>
      </c>
      <c r="G9">
        <v>1</v>
      </c>
      <c r="H9">
        <v>1</v>
      </c>
      <c r="I9">
        <v>0.6</v>
      </c>
      <c r="J9">
        <v>0.6</v>
      </c>
    </row>
    <row r="10" spans="1:10" x14ac:dyDescent="0.3">
      <c r="A10" t="s">
        <v>78</v>
      </c>
      <c r="B10" t="s">
        <v>29</v>
      </c>
      <c r="C10" t="s">
        <v>8</v>
      </c>
      <c r="D10">
        <v>1</v>
      </c>
      <c r="E10">
        <v>5</v>
      </c>
      <c r="F10">
        <v>0.5</v>
      </c>
      <c r="G10">
        <v>1</v>
      </c>
      <c r="H10">
        <v>1</v>
      </c>
      <c r="I10">
        <v>0.6</v>
      </c>
      <c r="J10">
        <v>0.6</v>
      </c>
    </row>
    <row r="11" spans="1:10" x14ac:dyDescent="0.3">
      <c r="A11" t="s">
        <v>35</v>
      </c>
      <c r="B11" t="s">
        <v>27</v>
      </c>
      <c r="C11" t="s">
        <v>9</v>
      </c>
      <c r="D11">
        <v>1</v>
      </c>
      <c r="E11">
        <v>20</v>
      </c>
      <c r="F11">
        <v>0</v>
      </c>
      <c r="G11">
        <v>1</v>
      </c>
      <c r="H11">
        <v>1</v>
      </c>
      <c r="I11">
        <v>0.6</v>
      </c>
      <c r="J11">
        <v>0.6</v>
      </c>
    </row>
    <row r="12" spans="1:10" x14ac:dyDescent="0.3">
      <c r="A12" t="s">
        <v>35</v>
      </c>
      <c r="B12" t="s">
        <v>29</v>
      </c>
      <c r="C12" t="s">
        <v>34</v>
      </c>
      <c r="D12">
        <v>1</v>
      </c>
      <c r="E12">
        <v>20</v>
      </c>
      <c r="F12">
        <v>0</v>
      </c>
      <c r="G12">
        <v>1</v>
      </c>
      <c r="H12">
        <v>1</v>
      </c>
      <c r="I12">
        <v>0.6</v>
      </c>
      <c r="J12">
        <v>0.6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B2" sqref="B2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30</v>
      </c>
    </row>
    <row r="2" spans="1:1" x14ac:dyDescent="0.3">
      <c r="A2" s="4">
        <f>IF(timeseries!A2&lt;&gt;"",timeseries!A2,"")</f>
        <v>45383</v>
      </c>
    </row>
    <row r="3" spans="1:1" x14ac:dyDescent="0.3">
      <c r="A3" s="4">
        <f>IF(timeseries!A3&lt;&gt;"",timeseries!A3,"")</f>
        <v>45383.041666666664</v>
      </c>
    </row>
    <row r="4" spans="1:1" x14ac:dyDescent="0.3">
      <c r="A4" s="4">
        <f>IF(timeseries!A4&lt;&gt;"",timeseries!A4,"")</f>
        <v>45383.083333333336</v>
      </c>
    </row>
    <row r="5" spans="1:1" x14ac:dyDescent="0.3">
      <c r="A5" s="4">
        <f>IF(timeseries!A5&lt;&gt;"",timeseries!A5,"")</f>
        <v>45383.125</v>
      </c>
    </row>
    <row r="6" spans="1:1" x14ac:dyDescent="0.3">
      <c r="A6" s="4">
        <f>IF(timeseries!A6&lt;&gt;"",timeseries!A6,"")</f>
        <v>45383.166666666664</v>
      </c>
    </row>
    <row r="7" spans="1:1" x14ac:dyDescent="0.3">
      <c r="A7" s="4">
        <f>IF(timeseries!A7&lt;&gt;"",timeseries!A7,"")</f>
        <v>45383.208333333336</v>
      </c>
    </row>
    <row r="8" spans="1:1" x14ac:dyDescent="0.3">
      <c r="A8" s="4">
        <f>IF(timeseries!A8&lt;&gt;"",timeseries!A8,"")</f>
        <v>45383.25</v>
      </c>
    </row>
    <row r="9" spans="1:1" x14ac:dyDescent="0.3">
      <c r="A9" s="4">
        <f>IF(timeseries!A9&lt;&gt;"",timeseries!A9,"")</f>
        <v>45383.291666666664</v>
      </c>
    </row>
    <row r="10" spans="1:1" x14ac:dyDescent="0.3">
      <c r="A10" s="4">
        <f>IF(timeseries!A10&lt;&gt;"",timeseries!A10,"")</f>
        <v>45383.333333333336</v>
      </c>
    </row>
    <row r="11" spans="1:1" x14ac:dyDescent="0.3">
      <c r="A11" s="4">
        <f>IF(timeseries!A11&lt;&gt;"",timeseries!A11,"")</f>
        <v>45383.375</v>
      </c>
    </row>
    <row r="12" spans="1:1" x14ac:dyDescent="0.3">
      <c r="A12" s="4">
        <f>IF(timeseries!A12&lt;&gt;"",timeseries!A12,"")</f>
        <v>45383.416666666664</v>
      </c>
    </row>
    <row r="13" spans="1:1" x14ac:dyDescent="0.3">
      <c r="A13" s="4">
        <f>IF(timeseries!A13&lt;&gt;"",timeseries!A13,"")</f>
        <v>45383.458333333336</v>
      </c>
    </row>
    <row r="14" spans="1:1" x14ac:dyDescent="0.3">
      <c r="A14" s="4">
        <f>IF(timeseries!A14&lt;&gt;"",timeseries!A14,"")</f>
        <v>45383.5</v>
      </c>
    </row>
    <row r="15" spans="1:1" x14ac:dyDescent="0.3">
      <c r="A15" s="4">
        <f>IF(timeseries!A15&lt;&gt;"",timeseries!A15,"")</f>
        <v>45383.541666666664</v>
      </c>
    </row>
    <row r="16" spans="1:1" x14ac:dyDescent="0.3">
      <c r="A16" s="4">
        <f>IF(timeseries!A16&lt;&gt;"",timeseries!A16,"")</f>
        <v>45383.583333333336</v>
      </c>
    </row>
    <row r="17" spans="1:1" x14ac:dyDescent="0.3">
      <c r="A17" s="4">
        <f>IF(timeseries!A17&lt;&gt;"",timeseries!A17,"")</f>
        <v>45383.625</v>
      </c>
    </row>
    <row r="18" spans="1:1" x14ac:dyDescent="0.3">
      <c r="A18" s="4">
        <f>IF(timeseries!A18&lt;&gt;"",timeseries!A18,"")</f>
        <v>45383.666666666664</v>
      </c>
    </row>
    <row r="19" spans="1:1" x14ac:dyDescent="0.3">
      <c r="A19" s="4">
        <f>IF(timeseries!A19&lt;&gt;"",timeseries!A19,"")</f>
        <v>45383.708333333336</v>
      </c>
    </row>
    <row r="20" spans="1:1" x14ac:dyDescent="0.3">
      <c r="A20" s="4">
        <f>IF(timeseries!A20&lt;&gt;"",timeseries!A20,"")</f>
        <v>45383.75</v>
      </c>
    </row>
    <row r="21" spans="1:1" x14ac:dyDescent="0.3">
      <c r="A21" s="4">
        <f>IF(timeseries!A21&lt;&gt;"",timeseries!A21,"")</f>
        <v>45383.791666666664</v>
      </c>
    </row>
    <row r="22" spans="1:1" x14ac:dyDescent="0.3">
      <c r="A22" s="4">
        <f>IF(timeseries!A22&lt;&gt;"",timeseries!A22,"")</f>
        <v>45383.833333333336</v>
      </c>
    </row>
    <row r="23" spans="1:1" x14ac:dyDescent="0.3">
      <c r="A23" s="4">
        <f>IF(timeseries!A23&lt;&gt;"",timeseries!A23,"")</f>
        <v>45383.875</v>
      </c>
    </row>
    <row r="24" spans="1:1" x14ac:dyDescent="0.3">
      <c r="A24" s="4">
        <f>IF(timeseries!A24&lt;&gt;"",timeseries!A24,"")</f>
        <v>45383.916666666664</v>
      </c>
    </row>
    <row r="25" spans="1:1" x14ac:dyDescent="0.3">
      <c r="A25" s="4">
        <f>IF(timeseries!A25&lt;&gt;"",timeseries!A25,"")</f>
        <v>45383.958333333336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1"/>
  <sheetViews>
    <sheetView workbookViewId="0">
      <selection activeCell="A2" sqref="A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128</v>
      </c>
      <c r="B1" s="2" t="s">
        <v>129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C25"/>
  <sheetViews>
    <sheetView workbookViewId="0">
      <selection activeCell="E13" sqref="E13"/>
    </sheetView>
  </sheetViews>
  <sheetFormatPr defaultRowHeight="14.4" x14ac:dyDescent="0.3"/>
  <cols>
    <col min="1" max="1" width="19.33203125" style="4" customWidth="1"/>
  </cols>
  <sheetData>
    <row r="1" spans="1:3" x14ac:dyDescent="0.3">
      <c r="A1" s="2" t="s">
        <v>30</v>
      </c>
      <c r="B1" s="2"/>
      <c r="C1" s="2"/>
    </row>
    <row r="2" spans="1:3" x14ac:dyDescent="0.3">
      <c r="A2" s="4">
        <f>IF(timeseries!A2&lt;&gt;"",timeseries!A2,"")</f>
        <v>45383</v>
      </c>
    </row>
    <row r="3" spans="1:3" x14ac:dyDescent="0.3">
      <c r="A3" s="4">
        <f>IF(timeseries!A3&lt;&gt;"",timeseries!A3,"")</f>
        <v>45383.041666666664</v>
      </c>
    </row>
    <row r="4" spans="1:3" x14ac:dyDescent="0.3">
      <c r="A4" s="4">
        <f>IF(timeseries!A4&lt;&gt;"",timeseries!A4,"")</f>
        <v>45383.083333333336</v>
      </c>
    </row>
    <row r="5" spans="1:3" x14ac:dyDescent="0.3">
      <c r="A5" s="4">
        <f>IF(timeseries!A5&lt;&gt;"",timeseries!A5,"")</f>
        <v>45383.125</v>
      </c>
    </row>
    <row r="6" spans="1:3" x14ac:dyDescent="0.3">
      <c r="A6" s="4">
        <f>IF(timeseries!A6&lt;&gt;"",timeseries!A6,"")</f>
        <v>45383.166666666664</v>
      </c>
    </row>
    <row r="7" spans="1:3" x14ac:dyDescent="0.3">
      <c r="A7" s="4">
        <f>IF(timeseries!A7&lt;&gt;"",timeseries!A7,"")</f>
        <v>45383.208333333336</v>
      </c>
    </row>
    <row r="8" spans="1:3" x14ac:dyDescent="0.3">
      <c r="A8" s="4">
        <f>IF(timeseries!A8&lt;&gt;"",timeseries!A8,"")</f>
        <v>45383.25</v>
      </c>
    </row>
    <row r="9" spans="1:3" x14ac:dyDescent="0.3">
      <c r="A9" s="4">
        <f>IF(timeseries!A9&lt;&gt;"",timeseries!A9,"")</f>
        <v>45383.291666666664</v>
      </c>
    </row>
    <row r="10" spans="1:3" x14ac:dyDescent="0.3">
      <c r="A10" s="4">
        <f>IF(timeseries!A10&lt;&gt;"",timeseries!A10,"")</f>
        <v>45383.333333333336</v>
      </c>
    </row>
    <row r="11" spans="1:3" x14ac:dyDescent="0.3">
      <c r="A11" s="4">
        <f>IF(timeseries!A11&lt;&gt;"",timeseries!A11,"")</f>
        <v>45383.375</v>
      </c>
    </row>
    <row r="12" spans="1:3" x14ac:dyDescent="0.3">
      <c r="A12" s="4">
        <f>IF(timeseries!A12&lt;&gt;"",timeseries!A12,"")</f>
        <v>45383.416666666664</v>
      </c>
    </row>
    <row r="13" spans="1:3" x14ac:dyDescent="0.3">
      <c r="A13" s="4">
        <f>IF(timeseries!A13&lt;&gt;"",timeseries!A13,"")</f>
        <v>45383.458333333336</v>
      </c>
    </row>
    <row r="14" spans="1:3" x14ac:dyDescent="0.3">
      <c r="A14" s="4">
        <f>IF(timeseries!A14&lt;&gt;"",timeseries!A14,"")</f>
        <v>45383.5</v>
      </c>
    </row>
    <row r="15" spans="1:3" x14ac:dyDescent="0.3">
      <c r="A15" s="4">
        <f>IF(timeseries!A15&lt;&gt;"",timeseries!A15,"")</f>
        <v>45383.541666666664</v>
      </c>
    </row>
    <row r="16" spans="1:3" x14ac:dyDescent="0.3">
      <c r="A16" s="4">
        <f>IF(timeseries!A16&lt;&gt;"",timeseries!A16,"")</f>
        <v>45383.583333333336</v>
      </c>
    </row>
    <row r="17" spans="1:1" x14ac:dyDescent="0.3">
      <c r="A17" s="4">
        <f>IF(timeseries!A17&lt;&gt;"",timeseries!A17,"")</f>
        <v>45383.625</v>
      </c>
    </row>
    <row r="18" spans="1:1" x14ac:dyDescent="0.3">
      <c r="A18" s="4">
        <f>IF(timeseries!A18&lt;&gt;"",timeseries!A18,"")</f>
        <v>45383.666666666664</v>
      </c>
    </row>
    <row r="19" spans="1:1" x14ac:dyDescent="0.3">
      <c r="A19" s="4">
        <f>IF(timeseries!A19&lt;&gt;"",timeseries!A19,"")</f>
        <v>45383.708333333336</v>
      </c>
    </row>
    <row r="20" spans="1:1" x14ac:dyDescent="0.3">
      <c r="A20" s="4">
        <f>IF(timeseries!A20&lt;&gt;"",timeseries!A20,"")</f>
        <v>45383.75</v>
      </c>
    </row>
    <row r="21" spans="1:1" x14ac:dyDescent="0.3">
      <c r="A21" s="4">
        <f>IF(timeseries!A21&lt;&gt;"",timeseries!A21,"")</f>
        <v>45383.791666666664</v>
      </c>
    </row>
    <row r="22" spans="1:1" x14ac:dyDescent="0.3">
      <c r="A22" s="4">
        <f>IF(timeseries!A22&lt;&gt;"",timeseries!A22,"")</f>
        <v>45383.833333333336</v>
      </c>
    </row>
    <row r="23" spans="1:1" x14ac:dyDescent="0.3">
      <c r="A23" s="4">
        <f>IF(timeseries!A23&lt;&gt;"",timeseries!A23,"")</f>
        <v>45383.875</v>
      </c>
    </row>
    <row r="24" spans="1:1" x14ac:dyDescent="0.3">
      <c r="A24" s="4">
        <f>IF(timeseries!A24&lt;&gt;"",timeseries!A24,"")</f>
        <v>45383.916666666664</v>
      </c>
    </row>
    <row r="25" spans="1:1" x14ac:dyDescent="0.3">
      <c r="A25" s="4">
        <f>IF(timeseries!A25&lt;&gt;"",timeseries!A25,"")</f>
        <v>45383.958333333336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3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75</v>
      </c>
      <c r="B1" s="2" t="s">
        <v>72</v>
      </c>
    </row>
    <row r="2" spans="1:2" x14ac:dyDescent="0.3">
      <c r="A2" t="s">
        <v>73</v>
      </c>
      <c r="B2">
        <v>4</v>
      </c>
    </row>
    <row r="3" spans="1:2" x14ac:dyDescent="0.3">
      <c r="A3" t="s">
        <v>74</v>
      </c>
      <c r="B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sqref="A1:A1048576"/>
    </sheetView>
  </sheetViews>
  <sheetFormatPr defaultRowHeight="14.4" x14ac:dyDescent="0.3"/>
  <cols>
    <col min="1" max="1" width="19.33203125" style="4" customWidth="1"/>
    <col min="6" max="6" width="23.109375" customWidth="1"/>
    <col min="12" max="12" width="12.109375" bestFit="1" customWidth="1"/>
  </cols>
  <sheetData>
    <row r="1" spans="1:12" s="2" customFormat="1" x14ac:dyDescent="0.3">
      <c r="A1" s="2" t="s">
        <v>30</v>
      </c>
      <c r="B1" s="2" t="s">
        <v>107</v>
      </c>
      <c r="C1" s="2" t="s">
        <v>79</v>
      </c>
      <c r="D1" s="2" t="s">
        <v>80</v>
      </c>
      <c r="E1" s="2" t="s">
        <v>81</v>
      </c>
      <c r="F1"/>
    </row>
    <row r="2" spans="1:12" x14ac:dyDescent="0.3">
      <c r="A2" s="4">
        <f>IF(timeseries!A2&lt;&gt;"",timeseries!A2,"")</f>
        <v>45383</v>
      </c>
      <c r="B2">
        <v>0</v>
      </c>
      <c r="C2">
        <v>0</v>
      </c>
      <c r="D2">
        <f>1*C2</f>
        <v>0</v>
      </c>
      <c r="E2">
        <f>1*C2</f>
        <v>0</v>
      </c>
      <c r="F2" s="4"/>
      <c r="L2" s="4"/>
    </row>
    <row r="3" spans="1:12" x14ac:dyDescent="0.3">
      <c r="A3" s="4">
        <f>IF(timeseries!A3&lt;&gt;"",timeseries!A3,"")</f>
        <v>45383.041666666664</v>
      </c>
      <c r="B3">
        <v>0.4</v>
      </c>
      <c r="C3">
        <v>0.4</v>
      </c>
      <c r="D3">
        <f t="shared" ref="D3:D25" si="0">1*C3</f>
        <v>0.4</v>
      </c>
      <c r="E3">
        <f t="shared" ref="E3:E25" si="1">1*C3</f>
        <v>0.4</v>
      </c>
    </row>
    <row r="4" spans="1:12" x14ac:dyDescent="0.3">
      <c r="A4" s="4">
        <f>IF(timeseries!A4&lt;&gt;"",timeseries!A4,"")</f>
        <v>45383.083333333336</v>
      </c>
      <c r="B4">
        <v>0.5</v>
      </c>
      <c r="C4">
        <v>0.5</v>
      </c>
      <c r="D4">
        <f t="shared" si="0"/>
        <v>0.5</v>
      </c>
      <c r="E4">
        <f t="shared" si="1"/>
        <v>0.5</v>
      </c>
    </row>
    <row r="5" spans="1:12" x14ac:dyDescent="0.3">
      <c r="A5" s="4">
        <f>IF(timeseries!A5&lt;&gt;"",timeseries!A5,"")</f>
        <v>45383.125</v>
      </c>
      <c r="B5">
        <v>0</v>
      </c>
      <c r="C5">
        <v>0</v>
      </c>
      <c r="D5">
        <f t="shared" si="0"/>
        <v>0</v>
      </c>
      <c r="E5">
        <f t="shared" si="1"/>
        <v>0</v>
      </c>
    </row>
    <row r="6" spans="1:12" x14ac:dyDescent="0.3">
      <c r="A6" s="4">
        <f>IF(timeseries!A6&lt;&gt;"",timeseries!A6,"")</f>
        <v>45383.166666666664</v>
      </c>
      <c r="B6">
        <v>0.8</v>
      </c>
      <c r="C6">
        <v>0.8</v>
      </c>
      <c r="D6">
        <f t="shared" si="0"/>
        <v>0.8</v>
      </c>
      <c r="E6">
        <f t="shared" si="1"/>
        <v>0.8</v>
      </c>
    </row>
    <row r="7" spans="1:12" x14ac:dyDescent="0.3">
      <c r="A7" s="4">
        <f>IF(timeseries!A7&lt;&gt;"",timeseries!A7,"")</f>
        <v>45383.208333333336</v>
      </c>
      <c r="B7">
        <v>1</v>
      </c>
      <c r="C7">
        <v>1</v>
      </c>
      <c r="D7">
        <f t="shared" si="0"/>
        <v>1</v>
      </c>
      <c r="E7">
        <f t="shared" si="1"/>
        <v>1</v>
      </c>
    </row>
    <row r="8" spans="1:12" x14ac:dyDescent="0.3">
      <c r="A8" s="4">
        <f>IF(timeseries!A8&lt;&gt;"",timeseries!A8,"")</f>
        <v>45383.25</v>
      </c>
      <c r="B8">
        <v>0.1</v>
      </c>
      <c r="C8">
        <v>0.1</v>
      </c>
      <c r="D8">
        <f t="shared" si="0"/>
        <v>0.1</v>
      </c>
      <c r="E8">
        <f t="shared" si="1"/>
        <v>0.1</v>
      </c>
    </row>
    <row r="9" spans="1:12" x14ac:dyDescent="0.3">
      <c r="A9" s="4">
        <f>IF(timeseries!A9&lt;&gt;"",timeseries!A9,"")</f>
        <v>45383.291666666664</v>
      </c>
      <c r="B9">
        <v>0.6</v>
      </c>
      <c r="C9">
        <v>0.6</v>
      </c>
      <c r="D9">
        <f t="shared" si="0"/>
        <v>0.6</v>
      </c>
      <c r="E9">
        <f t="shared" si="1"/>
        <v>0.6</v>
      </c>
    </row>
    <row r="10" spans="1:12" x14ac:dyDescent="0.3">
      <c r="A10" s="4">
        <f>IF(timeseries!A10&lt;&gt;"",timeseries!A10,"")</f>
        <v>45383.333333333336</v>
      </c>
      <c r="B10">
        <v>0.4</v>
      </c>
      <c r="C10">
        <v>0.4</v>
      </c>
      <c r="D10">
        <f t="shared" si="0"/>
        <v>0.4</v>
      </c>
      <c r="E10">
        <f t="shared" si="1"/>
        <v>0.4</v>
      </c>
    </row>
    <row r="11" spans="1:12" x14ac:dyDescent="0.3">
      <c r="A11" s="4">
        <f>IF(timeseries!A11&lt;&gt;"",timeseries!A11,"")</f>
        <v>45383.375</v>
      </c>
      <c r="B11">
        <v>0.6</v>
      </c>
      <c r="C11">
        <v>0.6</v>
      </c>
      <c r="D11">
        <f t="shared" si="0"/>
        <v>0.6</v>
      </c>
      <c r="E11">
        <f t="shared" si="1"/>
        <v>0.6</v>
      </c>
    </row>
    <row r="12" spans="1:12" x14ac:dyDescent="0.3">
      <c r="A12" s="4">
        <f>IF(timeseries!A12&lt;&gt;"",timeseries!A12,"")</f>
        <v>45383.416666666664</v>
      </c>
      <c r="B12">
        <v>0.7</v>
      </c>
      <c r="C12">
        <v>0.7</v>
      </c>
      <c r="D12">
        <f t="shared" si="0"/>
        <v>0.7</v>
      </c>
      <c r="E12">
        <f t="shared" si="1"/>
        <v>0.7</v>
      </c>
    </row>
    <row r="13" spans="1:12" x14ac:dyDescent="0.3">
      <c r="A13" s="4">
        <f>IF(timeseries!A13&lt;&gt;"",timeseries!A13,"")</f>
        <v>45383.458333333336</v>
      </c>
      <c r="B13">
        <v>0.1</v>
      </c>
      <c r="C13">
        <v>0.1</v>
      </c>
      <c r="D13">
        <f t="shared" si="0"/>
        <v>0.1</v>
      </c>
      <c r="E13">
        <f t="shared" si="1"/>
        <v>0.1</v>
      </c>
    </row>
    <row r="14" spans="1:12" x14ac:dyDescent="0.3">
      <c r="A14" s="4">
        <f>IF(timeseries!A14&lt;&gt;"",timeseries!A14,"")</f>
        <v>45383.5</v>
      </c>
      <c r="B14">
        <v>0.1</v>
      </c>
      <c r="C14">
        <v>0.1</v>
      </c>
      <c r="D14">
        <f t="shared" si="0"/>
        <v>0.1</v>
      </c>
      <c r="E14">
        <f t="shared" si="1"/>
        <v>0.1</v>
      </c>
    </row>
    <row r="15" spans="1:12" x14ac:dyDescent="0.3">
      <c r="A15" s="4">
        <f>IF(timeseries!A15&lt;&gt;"",timeseries!A15,"")</f>
        <v>45383.541666666664</v>
      </c>
      <c r="B15">
        <v>0.8</v>
      </c>
      <c r="C15">
        <v>0.8</v>
      </c>
      <c r="D15">
        <f t="shared" si="0"/>
        <v>0.8</v>
      </c>
      <c r="E15">
        <f t="shared" si="1"/>
        <v>0.8</v>
      </c>
    </row>
    <row r="16" spans="1:12" x14ac:dyDescent="0.3">
      <c r="A16" s="4">
        <f>IF(timeseries!A16&lt;&gt;"",timeseries!A16,"")</f>
        <v>45383.583333333336</v>
      </c>
      <c r="B16">
        <v>0.9</v>
      </c>
      <c r="C16">
        <v>0.9</v>
      </c>
      <c r="D16">
        <f t="shared" si="0"/>
        <v>0.9</v>
      </c>
      <c r="E16">
        <f t="shared" si="1"/>
        <v>0.9</v>
      </c>
    </row>
    <row r="17" spans="1:5" x14ac:dyDescent="0.3">
      <c r="A17" s="4">
        <f>IF(timeseries!A17&lt;&gt;"",timeseries!A17,"")</f>
        <v>45383.625</v>
      </c>
      <c r="B17">
        <v>0.2</v>
      </c>
      <c r="C17">
        <v>0.2</v>
      </c>
      <c r="D17">
        <f t="shared" si="0"/>
        <v>0.2</v>
      </c>
      <c r="E17">
        <f t="shared" si="1"/>
        <v>0.2</v>
      </c>
    </row>
    <row r="18" spans="1:5" x14ac:dyDescent="0.3">
      <c r="A18" s="4">
        <f>IF(timeseries!A18&lt;&gt;"",timeseries!A18,"")</f>
        <v>45383.666666666664</v>
      </c>
      <c r="B18">
        <v>0.4</v>
      </c>
      <c r="C18">
        <v>0.4</v>
      </c>
      <c r="D18">
        <f t="shared" si="0"/>
        <v>0.4</v>
      </c>
      <c r="E18">
        <f t="shared" si="1"/>
        <v>0.4</v>
      </c>
    </row>
    <row r="19" spans="1:5" x14ac:dyDescent="0.3">
      <c r="A19" s="4">
        <f>IF(timeseries!A19&lt;&gt;"",timeseries!A19,"")</f>
        <v>45383.708333333336</v>
      </c>
      <c r="B19">
        <v>0.6</v>
      </c>
      <c r="C19">
        <v>0.6</v>
      </c>
      <c r="D19">
        <f t="shared" si="0"/>
        <v>0.6</v>
      </c>
      <c r="E19">
        <f t="shared" si="1"/>
        <v>0.6</v>
      </c>
    </row>
    <row r="20" spans="1:5" x14ac:dyDescent="0.3">
      <c r="A20" s="4">
        <f>IF(timeseries!A20&lt;&gt;"",timeseries!A20,"")</f>
        <v>45383.75</v>
      </c>
      <c r="B20">
        <v>0.7</v>
      </c>
      <c r="C20">
        <v>0.7</v>
      </c>
      <c r="D20">
        <f t="shared" si="0"/>
        <v>0.7</v>
      </c>
      <c r="E20">
        <f t="shared" si="1"/>
        <v>0.7</v>
      </c>
    </row>
    <row r="21" spans="1:5" x14ac:dyDescent="0.3">
      <c r="A21" s="4">
        <f>IF(timeseries!A21&lt;&gt;"",timeseries!A21,"")</f>
        <v>45383.791666666664</v>
      </c>
      <c r="B21">
        <v>0.7</v>
      </c>
      <c r="C21">
        <v>0.7</v>
      </c>
      <c r="D21">
        <f t="shared" si="0"/>
        <v>0.7</v>
      </c>
      <c r="E21">
        <f t="shared" si="1"/>
        <v>0.7</v>
      </c>
    </row>
    <row r="22" spans="1:5" x14ac:dyDescent="0.3">
      <c r="A22" s="4">
        <f>IF(timeseries!A22&lt;&gt;"",timeseries!A22,"")</f>
        <v>45383.833333333336</v>
      </c>
      <c r="B22">
        <v>0.6</v>
      </c>
      <c r="C22">
        <v>0.6</v>
      </c>
      <c r="D22">
        <f t="shared" si="0"/>
        <v>0.6</v>
      </c>
      <c r="E22">
        <f t="shared" si="1"/>
        <v>0.6</v>
      </c>
    </row>
    <row r="23" spans="1:5" x14ac:dyDescent="0.3">
      <c r="A23" s="4">
        <f>IF(timeseries!A23&lt;&gt;"",timeseries!A23,"")</f>
        <v>45383.875</v>
      </c>
      <c r="B23">
        <v>0.7</v>
      </c>
      <c r="C23">
        <v>0.7</v>
      </c>
      <c r="D23">
        <f t="shared" si="0"/>
        <v>0.7</v>
      </c>
      <c r="E23">
        <f t="shared" si="1"/>
        <v>0.7</v>
      </c>
    </row>
    <row r="24" spans="1:5" x14ac:dyDescent="0.3">
      <c r="A24" s="4">
        <f>IF(timeseries!A24&lt;&gt;"",timeseries!A24,"")</f>
        <v>45383.916666666664</v>
      </c>
      <c r="B24">
        <v>0.1</v>
      </c>
      <c r="C24">
        <v>0.1</v>
      </c>
      <c r="D24">
        <f t="shared" si="0"/>
        <v>0.1</v>
      </c>
      <c r="E24">
        <f t="shared" si="1"/>
        <v>0.1</v>
      </c>
    </row>
    <row r="25" spans="1:5" x14ac:dyDescent="0.3">
      <c r="A25" s="4">
        <f>IF(timeseries!A25&lt;&gt;"",timeseries!A25,"")</f>
        <v>45383.958333333336</v>
      </c>
      <c r="B25">
        <v>0.6</v>
      </c>
      <c r="C25">
        <v>0.6</v>
      </c>
      <c r="D25">
        <f t="shared" si="0"/>
        <v>0.6</v>
      </c>
      <c r="E25">
        <f t="shared" si="1"/>
        <v>0.6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sqref="A1:A1048576"/>
    </sheetView>
  </sheetViews>
  <sheetFormatPr defaultRowHeight="14.4" x14ac:dyDescent="0.3"/>
  <cols>
    <col min="1" max="1" width="19.33203125" style="4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30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</row>
    <row r="2" spans="1:7" x14ac:dyDescent="0.3">
      <c r="A2" s="4">
        <f>IF(timeseries!A2&lt;&gt;"",timeseries!A2,"")</f>
        <v>45383</v>
      </c>
      <c r="B2">
        <v>-5</v>
      </c>
      <c r="C2">
        <v>-5</v>
      </c>
      <c r="D2">
        <v>-5</v>
      </c>
      <c r="E2">
        <f>1*C2</f>
        <v>-5</v>
      </c>
      <c r="F2">
        <f>1*B2</f>
        <v>-5</v>
      </c>
      <c r="G2">
        <f>1*C2</f>
        <v>-5</v>
      </c>
    </row>
    <row r="3" spans="1:7" x14ac:dyDescent="0.3">
      <c r="A3" s="4">
        <f>IF(timeseries!A3&lt;&gt;"",timeseries!A3,"")</f>
        <v>45383.041666666664</v>
      </c>
      <c r="B3">
        <v>-5</v>
      </c>
      <c r="C3">
        <v>-5</v>
      </c>
      <c r="D3">
        <f t="shared" ref="D3:D25" si="0">1*B3</f>
        <v>-5</v>
      </c>
      <c r="E3">
        <f t="shared" ref="E3:E25" si="1">1*C3</f>
        <v>-5</v>
      </c>
      <c r="F3">
        <f t="shared" ref="F3:F25" si="2">1*B3</f>
        <v>-5</v>
      </c>
      <c r="G3">
        <f t="shared" ref="G3:G25" si="3">1*C3</f>
        <v>-5</v>
      </c>
    </row>
    <row r="4" spans="1:7" x14ac:dyDescent="0.3">
      <c r="A4" s="4">
        <f>IF(timeseries!A4&lt;&gt;"",timeseries!A4,"")</f>
        <v>45383.083333333336</v>
      </c>
      <c r="B4">
        <v>-4</v>
      </c>
      <c r="C4">
        <v>-6</v>
      </c>
      <c r="D4">
        <f t="shared" si="0"/>
        <v>-4</v>
      </c>
      <c r="E4">
        <f t="shared" si="1"/>
        <v>-6</v>
      </c>
      <c r="F4">
        <f t="shared" si="2"/>
        <v>-4</v>
      </c>
      <c r="G4">
        <f t="shared" si="3"/>
        <v>-6</v>
      </c>
    </row>
    <row r="5" spans="1:7" x14ac:dyDescent="0.3">
      <c r="A5" s="4">
        <f>IF(timeseries!A5&lt;&gt;"",timeseries!A5,"")</f>
        <v>45383.125</v>
      </c>
      <c r="B5">
        <v>-2</v>
      </c>
      <c r="C5">
        <v>-3</v>
      </c>
      <c r="D5">
        <f t="shared" si="0"/>
        <v>-2</v>
      </c>
      <c r="E5">
        <f t="shared" si="1"/>
        <v>-3</v>
      </c>
      <c r="F5">
        <f t="shared" si="2"/>
        <v>-2</v>
      </c>
      <c r="G5">
        <f t="shared" si="3"/>
        <v>-3</v>
      </c>
    </row>
    <row r="6" spans="1:7" x14ac:dyDescent="0.3">
      <c r="A6" s="4">
        <f>IF(timeseries!A6&lt;&gt;"",timeseries!A6,"")</f>
        <v>45383.166666666664</v>
      </c>
      <c r="B6">
        <v>-7</v>
      </c>
      <c r="C6">
        <v>-4</v>
      </c>
      <c r="D6">
        <f t="shared" si="0"/>
        <v>-7</v>
      </c>
      <c r="E6">
        <f t="shared" si="1"/>
        <v>-4</v>
      </c>
      <c r="F6">
        <f t="shared" si="2"/>
        <v>-7</v>
      </c>
      <c r="G6">
        <f t="shared" si="3"/>
        <v>-4</v>
      </c>
    </row>
    <row r="7" spans="1:7" x14ac:dyDescent="0.3">
      <c r="A7" s="4">
        <f>IF(timeseries!A7&lt;&gt;"",timeseries!A7,"")</f>
        <v>45383.208333333336</v>
      </c>
      <c r="B7">
        <v>-5</v>
      </c>
      <c r="C7">
        <v>-5</v>
      </c>
      <c r="D7">
        <f t="shared" si="0"/>
        <v>-5</v>
      </c>
      <c r="E7">
        <f t="shared" si="1"/>
        <v>-5</v>
      </c>
      <c r="F7">
        <f t="shared" si="2"/>
        <v>-5</v>
      </c>
      <c r="G7">
        <f t="shared" si="3"/>
        <v>-5</v>
      </c>
    </row>
    <row r="8" spans="1:7" x14ac:dyDescent="0.3">
      <c r="A8" s="4">
        <f>IF(timeseries!A8&lt;&gt;"",timeseries!A8,"")</f>
        <v>45383.25</v>
      </c>
      <c r="B8">
        <v>-14</v>
      </c>
      <c r="C8">
        <v>0</v>
      </c>
      <c r="D8">
        <f t="shared" si="0"/>
        <v>-14</v>
      </c>
      <c r="E8">
        <f t="shared" si="1"/>
        <v>0</v>
      </c>
      <c r="F8">
        <f t="shared" si="2"/>
        <v>-14</v>
      </c>
      <c r="G8">
        <f t="shared" si="3"/>
        <v>0</v>
      </c>
    </row>
    <row r="9" spans="1:7" x14ac:dyDescent="0.3">
      <c r="A9" s="4">
        <f>IF(timeseries!A9&lt;&gt;"",timeseries!A9,"")</f>
        <v>45383.291666666664</v>
      </c>
      <c r="B9">
        <v>-20</v>
      </c>
      <c r="C9">
        <v>-2</v>
      </c>
      <c r="D9">
        <f t="shared" si="0"/>
        <v>-20</v>
      </c>
      <c r="E9">
        <f t="shared" si="1"/>
        <v>-2</v>
      </c>
      <c r="F9">
        <f t="shared" si="2"/>
        <v>-20</v>
      </c>
      <c r="G9">
        <f t="shared" si="3"/>
        <v>-2</v>
      </c>
    </row>
    <row r="10" spans="1:7" x14ac:dyDescent="0.3">
      <c r="A10" s="4">
        <f>IF(timeseries!A10&lt;&gt;"",timeseries!A10,"")</f>
        <v>45383.333333333336</v>
      </c>
      <c r="B10">
        <v>-13</v>
      </c>
      <c r="C10">
        <v>-2</v>
      </c>
      <c r="D10">
        <f t="shared" si="0"/>
        <v>-13</v>
      </c>
      <c r="E10">
        <f t="shared" si="1"/>
        <v>-2</v>
      </c>
      <c r="F10">
        <f t="shared" si="2"/>
        <v>-13</v>
      </c>
      <c r="G10">
        <f t="shared" si="3"/>
        <v>-2</v>
      </c>
    </row>
    <row r="11" spans="1:7" x14ac:dyDescent="0.3">
      <c r="A11" s="4">
        <f>IF(timeseries!A11&lt;&gt;"",timeseries!A11,"")</f>
        <v>45383.375</v>
      </c>
      <c r="B11">
        <v>-12</v>
      </c>
      <c r="C11">
        <v>-5</v>
      </c>
      <c r="D11">
        <f t="shared" si="0"/>
        <v>-12</v>
      </c>
      <c r="E11">
        <f t="shared" si="1"/>
        <v>-5</v>
      </c>
      <c r="F11">
        <f t="shared" si="2"/>
        <v>-12</v>
      </c>
      <c r="G11">
        <f t="shared" si="3"/>
        <v>-5</v>
      </c>
    </row>
    <row r="12" spans="1:7" x14ac:dyDescent="0.3">
      <c r="A12" s="4">
        <f>IF(timeseries!A12&lt;&gt;"",timeseries!A12,"")</f>
        <v>45383.416666666664</v>
      </c>
      <c r="B12">
        <v>-13</v>
      </c>
      <c r="C12">
        <v>-2</v>
      </c>
      <c r="D12">
        <f t="shared" si="0"/>
        <v>-13</v>
      </c>
      <c r="E12">
        <f t="shared" si="1"/>
        <v>-2</v>
      </c>
      <c r="F12">
        <f t="shared" si="2"/>
        <v>-13</v>
      </c>
      <c r="G12">
        <f t="shared" si="3"/>
        <v>-2</v>
      </c>
    </row>
    <row r="13" spans="1:7" x14ac:dyDescent="0.3">
      <c r="A13" s="4">
        <f>IF(timeseries!A13&lt;&gt;"",timeseries!A13,"")</f>
        <v>45383.458333333336</v>
      </c>
      <c r="B13">
        <v>-14</v>
      </c>
      <c r="C13">
        <v>-6</v>
      </c>
      <c r="D13">
        <f t="shared" si="0"/>
        <v>-14</v>
      </c>
      <c r="E13">
        <f t="shared" si="1"/>
        <v>-6</v>
      </c>
      <c r="F13">
        <f t="shared" si="2"/>
        <v>-14</v>
      </c>
      <c r="G13">
        <f t="shared" si="3"/>
        <v>-6</v>
      </c>
    </row>
    <row r="14" spans="1:7" x14ac:dyDescent="0.3">
      <c r="A14" s="4">
        <f>IF(timeseries!A14&lt;&gt;"",timeseries!A14,"")</f>
        <v>45383.5</v>
      </c>
      <c r="B14">
        <v>-18</v>
      </c>
      <c r="C14">
        <v>-4</v>
      </c>
      <c r="D14">
        <f t="shared" si="0"/>
        <v>-18</v>
      </c>
      <c r="E14">
        <f t="shared" si="1"/>
        <v>-4</v>
      </c>
      <c r="F14">
        <f t="shared" si="2"/>
        <v>-18</v>
      </c>
      <c r="G14">
        <f t="shared" si="3"/>
        <v>-4</v>
      </c>
    </row>
    <row r="15" spans="1:7" x14ac:dyDescent="0.3">
      <c r="A15" s="4">
        <f>IF(timeseries!A15&lt;&gt;"",timeseries!A15,"")</f>
        <v>45383.541666666664</v>
      </c>
      <c r="B15">
        <v>-14</v>
      </c>
      <c r="C15">
        <v>-3</v>
      </c>
      <c r="D15">
        <f t="shared" si="0"/>
        <v>-14</v>
      </c>
      <c r="E15">
        <f t="shared" si="1"/>
        <v>-3</v>
      </c>
      <c r="F15">
        <f t="shared" si="2"/>
        <v>-14</v>
      </c>
      <c r="G15">
        <f t="shared" si="3"/>
        <v>-3</v>
      </c>
    </row>
    <row r="16" spans="1:7" x14ac:dyDescent="0.3">
      <c r="A16" s="4">
        <f>IF(timeseries!A16&lt;&gt;"",timeseries!A16,"")</f>
        <v>45383.583333333336</v>
      </c>
      <c r="B16">
        <v>-15</v>
      </c>
      <c r="C16">
        <v>-5</v>
      </c>
      <c r="D16">
        <f t="shared" si="0"/>
        <v>-15</v>
      </c>
      <c r="E16">
        <f t="shared" si="1"/>
        <v>-5</v>
      </c>
      <c r="F16">
        <f t="shared" si="2"/>
        <v>-15</v>
      </c>
      <c r="G16">
        <f t="shared" si="3"/>
        <v>-5</v>
      </c>
    </row>
    <row r="17" spans="1:7" x14ac:dyDescent="0.3">
      <c r="A17" s="4">
        <f>IF(timeseries!A17&lt;&gt;"",timeseries!A17,"")</f>
        <v>45383.625</v>
      </c>
      <c r="B17">
        <v>-14</v>
      </c>
      <c r="C17">
        <v>-1</v>
      </c>
      <c r="D17">
        <f t="shared" si="0"/>
        <v>-14</v>
      </c>
      <c r="E17">
        <f t="shared" si="1"/>
        <v>-1</v>
      </c>
      <c r="F17">
        <f t="shared" si="2"/>
        <v>-14</v>
      </c>
      <c r="G17">
        <f t="shared" si="3"/>
        <v>-1</v>
      </c>
    </row>
    <row r="18" spans="1:7" x14ac:dyDescent="0.3">
      <c r="A18" s="4">
        <f>IF(timeseries!A18&lt;&gt;"",timeseries!A18,"")</f>
        <v>45383.666666666664</v>
      </c>
      <c r="B18">
        <v>-20</v>
      </c>
      <c r="C18">
        <v>-5</v>
      </c>
      <c r="D18">
        <f t="shared" si="0"/>
        <v>-20</v>
      </c>
      <c r="E18">
        <f t="shared" si="1"/>
        <v>-5</v>
      </c>
      <c r="F18">
        <f t="shared" si="2"/>
        <v>-20</v>
      </c>
      <c r="G18">
        <f t="shared" si="3"/>
        <v>-5</v>
      </c>
    </row>
    <row r="19" spans="1:7" x14ac:dyDescent="0.3">
      <c r="A19" s="4">
        <f>IF(timeseries!A19&lt;&gt;"",timeseries!A19,"")</f>
        <v>45383.708333333336</v>
      </c>
      <c r="B19">
        <v>-20</v>
      </c>
      <c r="C19">
        <v>-4</v>
      </c>
      <c r="D19">
        <f t="shared" si="0"/>
        <v>-20</v>
      </c>
      <c r="E19">
        <f t="shared" si="1"/>
        <v>-4</v>
      </c>
      <c r="F19">
        <f t="shared" si="2"/>
        <v>-20</v>
      </c>
      <c r="G19">
        <f t="shared" si="3"/>
        <v>-4</v>
      </c>
    </row>
    <row r="20" spans="1:7" x14ac:dyDescent="0.3">
      <c r="A20" s="4">
        <f>IF(timeseries!A20&lt;&gt;"",timeseries!A20,"")</f>
        <v>45383.75</v>
      </c>
      <c r="B20">
        <v>-20</v>
      </c>
      <c r="C20">
        <v>0</v>
      </c>
      <c r="D20">
        <f t="shared" si="0"/>
        <v>-20</v>
      </c>
      <c r="E20">
        <f t="shared" si="1"/>
        <v>0</v>
      </c>
      <c r="F20">
        <f t="shared" si="2"/>
        <v>-20</v>
      </c>
      <c r="G20">
        <f t="shared" si="3"/>
        <v>0</v>
      </c>
    </row>
    <row r="21" spans="1:7" x14ac:dyDescent="0.3">
      <c r="A21" s="4">
        <f>IF(timeseries!A21&lt;&gt;"",timeseries!A21,"")</f>
        <v>45383.791666666664</v>
      </c>
      <c r="B21">
        <v>-20</v>
      </c>
      <c r="C21">
        <v>-1</v>
      </c>
      <c r="D21">
        <f t="shared" si="0"/>
        <v>-20</v>
      </c>
      <c r="E21">
        <f t="shared" si="1"/>
        <v>-1</v>
      </c>
      <c r="F21">
        <f t="shared" si="2"/>
        <v>-20</v>
      </c>
      <c r="G21">
        <f t="shared" si="3"/>
        <v>-1</v>
      </c>
    </row>
    <row r="22" spans="1:7" x14ac:dyDescent="0.3">
      <c r="A22" s="4">
        <f>IF(timeseries!A22&lt;&gt;"",timeseries!A22,"")</f>
        <v>45383.833333333336</v>
      </c>
      <c r="B22">
        <v>-16</v>
      </c>
      <c r="C22">
        <v>-4</v>
      </c>
      <c r="D22">
        <f t="shared" si="0"/>
        <v>-16</v>
      </c>
      <c r="E22">
        <f t="shared" si="1"/>
        <v>-4</v>
      </c>
      <c r="F22">
        <f t="shared" si="2"/>
        <v>-16</v>
      </c>
      <c r="G22">
        <f t="shared" si="3"/>
        <v>-4</v>
      </c>
    </row>
    <row r="23" spans="1:7" x14ac:dyDescent="0.3">
      <c r="A23" s="4">
        <f>IF(timeseries!A23&lt;&gt;"",timeseries!A23,"")</f>
        <v>45383.875</v>
      </c>
      <c r="B23">
        <v>-14</v>
      </c>
      <c r="C23">
        <v>-5</v>
      </c>
      <c r="D23">
        <f t="shared" si="0"/>
        <v>-14</v>
      </c>
      <c r="E23">
        <f t="shared" si="1"/>
        <v>-5</v>
      </c>
      <c r="F23">
        <f t="shared" si="2"/>
        <v>-14</v>
      </c>
      <c r="G23">
        <f t="shared" si="3"/>
        <v>-5</v>
      </c>
    </row>
    <row r="24" spans="1:7" x14ac:dyDescent="0.3">
      <c r="A24" s="4">
        <f>IF(timeseries!A24&lt;&gt;"",timeseries!A24,"")</f>
        <v>45383.916666666664</v>
      </c>
      <c r="B24">
        <v>-11</v>
      </c>
      <c r="C24">
        <v>-1</v>
      </c>
      <c r="D24">
        <f t="shared" si="0"/>
        <v>-11</v>
      </c>
      <c r="E24">
        <f t="shared" si="1"/>
        <v>-1</v>
      </c>
      <c r="F24">
        <f t="shared" si="2"/>
        <v>-11</v>
      </c>
      <c r="G24">
        <f t="shared" si="3"/>
        <v>-1</v>
      </c>
    </row>
    <row r="25" spans="1:7" x14ac:dyDescent="0.3">
      <c r="A25" s="4">
        <f>IF(timeseries!A25&lt;&gt;"",timeseries!A25,"")</f>
        <v>45383.958333333336</v>
      </c>
      <c r="B25">
        <v>-9</v>
      </c>
      <c r="C25">
        <v>-3</v>
      </c>
      <c r="D25">
        <f t="shared" si="0"/>
        <v>-9</v>
      </c>
      <c r="E25">
        <f t="shared" si="1"/>
        <v>-3</v>
      </c>
      <c r="F25">
        <f t="shared" si="2"/>
        <v>-9</v>
      </c>
      <c r="G25">
        <f t="shared" si="3"/>
        <v>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F17"/>
  <sheetViews>
    <sheetView workbookViewId="0">
      <selection sqref="A1:A1048576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30</v>
      </c>
    </row>
    <row r="2" spans="1:6" x14ac:dyDescent="0.3">
      <c r="A2">
        <v>1</v>
      </c>
      <c r="C2" s="4"/>
      <c r="E2" s="4"/>
    </row>
    <row r="3" spans="1:6" x14ac:dyDescent="0.3">
      <c r="A3">
        <v>2</v>
      </c>
      <c r="C3" s="4"/>
      <c r="E3" s="4"/>
    </row>
    <row r="4" spans="1:6" x14ac:dyDescent="0.3">
      <c r="A4">
        <v>3</v>
      </c>
      <c r="C4" s="4"/>
      <c r="E4" s="4"/>
    </row>
    <row r="5" spans="1:6" x14ac:dyDescent="0.3">
      <c r="A5">
        <v>4</v>
      </c>
      <c r="C5" s="4"/>
      <c r="E5" s="4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4"/>
      <c r="D15" s="4"/>
      <c r="E15" s="4"/>
      <c r="F15" s="4"/>
    </row>
    <row r="17" spans="3:6" x14ac:dyDescent="0.3">
      <c r="C17" s="4"/>
      <c r="D17" s="4"/>
      <c r="E17" s="4"/>
      <c r="F1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4021-DCC8-42AB-80E2-477A052D0E38}">
  <dimension ref="A1:G1"/>
  <sheetViews>
    <sheetView tabSelected="1" workbookViewId="0">
      <selection activeCell="G1" sqref="G1"/>
    </sheetView>
  </sheetViews>
  <sheetFormatPr defaultRowHeight="14.4" x14ac:dyDescent="0.3"/>
  <cols>
    <col min="1" max="1" width="12.44140625" bestFit="1" customWidth="1"/>
  </cols>
  <sheetData>
    <row r="1" spans="1:7" x14ac:dyDescent="0.3">
      <c r="A1" t="s">
        <v>171</v>
      </c>
      <c r="B1" t="s">
        <v>0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B1" sqref="B1"/>
    </sheetView>
  </sheetViews>
  <sheetFormatPr defaultRowHeight="14.4" x14ac:dyDescent="0.3"/>
  <cols>
    <col min="1" max="1" width="19.33203125" style="4" customWidth="1"/>
  </cols>
  <sheetData>
    <row r="1" spans="1:2" s="2" customFormat="1" x14ac:dyDescent="0.3">
      <c r="A1" s="2" t="s">
        <v>30</v>
      </c>
      <c r="B1" s="2" t="s">
        <v>106</v>
      </c>
    </row>
    <row r="2" spans="1:2" x14ac:dyDescent="0.3">
      <c r="A2" s="4">
        <f>IF(timeseries!A2&lt;&gt;"",timeseries!A2,"")</f>
        <v>45383</v>
      </c>
      <c r="B2">
        <v>12</v>
      </c>
    </row>
    <row r="3" spans="1:2" x14ac:dyDescent="0.3">
      <c r="A3" s="4">
        <f>IF(timeseries!A3&lt;&gt;"",timeseries!A3,"")</f>
        <v>45383.041666666664</v>
      </c>
      <c r="B3">
        <v>12</v>
      </c>
    </row>
    <row r="4" spans="1:2" x14ac:dyDescent="0.3">
      <c r="A4" s="4">
        <f>IF(timeseries!A4&lt;&gt;"",timeseries!A4,"")</f>
        <v>45383.083333333336</v>
      </c>
      <c r="B4">
        <v>12</v>
      </c>
    </row>
    <row r="5" spans="1:2" x14ac:dyDescent="0.3">
      <c r="A5" s="4">
        <f>IF(timeseries!A5&lt;&gt;"",timeseries!A5,"")</f>
        <v>45383.125</v>
      </c>
      <c r="B5">
        <v>12</v>
      </c>
    </row>
    <row r="6" spans="1:2" x14ac:dyDescent="0.3">
      <c r="A6" s="4">
        <f>IF(timeseries!A6&lt;&gt;"",timeseries!A6,"")</f>
        <v>45383.166666666664</v>
      </c>
      <c r="B6">
        <v>12</v>
      </c>
    </row>
    <row r="7" spans="1:2" x14ac:dyDescent="0.3">
      <c r="A7" s="4">
        <f>IF(timeseries!A7&lt;&gt;"",timeseries!A7,"")</f>
        <v>45383.208333333336</v>
      </c>
      <c r="B7">
        <v>12</v>
      </c>
    </row>
    <row r="8" spans="1:2" x14ac:dyDescent="0.3">
      <c r="A8" s="4">
        <f>IF(timeseries!A8&lt;&gt;"",timeseries!A8,"")</f>
        <v>45383.25</v>
      </c>
      <c r="B8">
        <v>12</v>
      </c>
    </row>
    <row r="9" spans="1:2" x14ac:dyDescent="0.3">
      <c r="A9" s="4">
        <f>IF(timeseries!A9&lt;&gt;"",timeseries!A9,"")</f>
        <v>45383.291666666664</v>
      </c>
      <c r="B9">
        <v>12</v>
      </c>
    </row>
    <row r="10" spans="1:2" x14ac:dyDescent="0.3">
      <c r="A10" s="4">
        <f>IF(timeseries!A10&lt;&gt;"",timeseries!A10,"")</f>
        <v>45383.333333333336</v>
      </c>
      <c r="B10">
        <v>12</v>
      </c>
    </row>
    <row r="11" spans="1:2" x14ac:dyDescent="0.3">
      <c r="A11" s="4">
        <f>IF(timeseries!A11&lt;&gt;"",timeseries!A11,"")</f>
        <v>45383.375</v>
      </c>
      <c r="B11">
        <v>12</v>
      </c>
    </row>
    <row r="12" spans="1:2" x14ac:dyDescent="0.3">
      <c r="A12" s="4">
        <f>IF(timeseries!A12&lt;&gt;"",timeseries!A12,"")</f>
        <v>45383.416666666664</v>
      </c>
      <c r="B12">
        <v>12</v>
      </c>
    </row>
    <row r="13" spans="1:2" x14ac:dyDescent="0.3">
      <c r="A13" s="4">
        <f>IF(timeseries!A13&lt;&gt;"",timeseries!A13,"")</f>
        <v>45383.458333333336</v>
      </c>
      <c r="B13">
        <v>12</v>
      </c>
    </row>
    <row r="14" spans="1:2" x14ac:dyDescent="0.3">
      <c r="A14" s="4">
        <f>IF(timeseries!A14&lt;&gt;"",timeseries!A14,"")</f>
        <v>45383.5</v>
      </c>
      <c r="B14">
        <v>12</v>
      </c>
    </row>
    <row r="15" spans="1:2" x14ac:dyDescent="0.3">
      <c r="A15" s="4">
        <f>IF(timeseries!A15&lt;&gt;"",timeseries!A15,"")</f>
        <v>45383.541666666664</v>
      </c>
      <c r="B15">
        <v>12</v>
      </c>
    </row>
    <row r="16" spans="1:2" x14ac:dyDescent="0.3">
      <c r="A16" s="4">
        <f>IF(timeseries!A16&lt;&gt;"",timeseries!A16,"")</f>
        <v>45383.583333333336</v>
      </c>
      <c r="B16">
        <v>12</v>
      </c>
    </row>
    <row r="17" spans="1:2" x14ac:dyDescent="0.3">
      <c r="A17" s="4">
        <f>IF(timeseries!A17&lt;&gt;"",timeseries!A17,"")</f>
        <v>45383.625</v>
      </c>
      <c r="B17">
        <v>12</v>
      </c>
    </row>
    <row r="18" spans="1:2" x14ac:dyDescent="0.3">
      <c r="A18" s="4">
        <f>IF(timeseries!A18&lt;&gt;"",timeseries!A18,"")</f>
        <v>45383.666666666664</v>
      </c>
      <c r="B18">
        <v>12</v>
      </c>
    </row>
    <row r="19" spans="1:2" x14ac:dyDescent="0.3">
      <c r="A19" s="4">
        <f>IF(timeseries!A19&lt;&gt;"",timeseries!A19,"")</f>
        <v>45383.708333333336</v>
      </c>
      <c r="B19">
        <v>12</v>
      </c>
    </row>
    <row r="20" spans="1:2" x14ac:dyDescent="0.3">
      <c r="A20" s="4">
        <f>IF(timeseries!A20&lt;&gt;"",timeseries!A20,"")</f>
        <v>45383.75</v>
      </c>
      <c r="B20">
        <v>12</v>
      </c>
    </row>
    <row r="21" spans="1:2" x14ac:dyDescent="0.3">
      <c r="A21" s="4">
        <f>IF(timeseries!A21&lt;&gt;"",timeseries!A21,"")</f>
        <v>45383.791666666664</v>
      </c>
      <c r="B21">
        <v>12</v>
      </c>
    </row>
    <row r="22" spans="1:2" x14ac:dyDescent="0.3">
      <c r="A22" s="4">
        <f>IF(timeseries!A22&lt;&gt;"",timeseries!A22,"")</f>
        <v>45383.833333333336</v>
      </c>
      <c r="B22">
        <v>12</v>
      </c>
    </row>
    <row r="23" spans="1:2" x14ac:dyDescent="0.3">
      <c r="A23" s="4">
        <f>IF(timeseries!A23&lt;&gt;"",timeseries!A23,"")</f>
        <v>45383.875</v>
      </c>
      <c r="B23">
        <v>12</v>
      </c>
    </row>
    <row r="24" spans="1:2" x14ac:dyDescent="0.3">
      <c r="A24" s="4">
        <f>IF(timeseries!A24&lt;&gt;"",timeseries!A24,"")</f>
        <v>45383.916666666664</v>
      </c>
      <c r="B24">
        <v>12</v>
      </c>
    </row>
    <row r="25" spans="1:2" x14ac:dyDescent="0.3">
      <c r="A25" s="4">
        <f>IF(timeseries!A25&lt;&gt;"",timeseries!A25,"")</f>
        <v>45383.958333333336</v>
      </c>
      <c r="B25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5"/>
  <sheetViews>
    <sheetView workbookViewId="0">
      <selection activeCell="B2" sqref="B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2" customFormat="1" x14ac:dyDescent="0.3">
      <c r="A1" s="2" t="s">
        <v>31</v>
      </c>
      <c r="B1" s="2" t="s">
        <v>167</v>
      </c>
      <c r="C1" s="2" t="s">
        <v>0</v>
      </c>
      <c r="D1" s="2" t="s">
        <v>125</v>
      </c>
      <c r="E1" s="2" t="s">
        <v>41</v>
      </c>
      <c r="F1" s="2" t="s">
        <v>75</v>
      </c>
      <c r="G1" s="2" t="s">
        <v>103</v>
      </c>
      <c r="H1" s="2" t="s">
        <v>119</v>
      </c>
      <c r="I1" s="2" t="s">
        <v>121</v>
      </c>
      <c r="J1" s="2" t="s">
        <v>122</v>
      </c>
      <c r="K1" s="2" t="s">
        <v>120</v>
      </c>
    </row>
    <row r="2" spans="1:11" x14ac:dyDescent="0.3">
      <c r="A2" s="3" t="s">
        <v>12</v>
      </c>
      <c r="B2" s="3" t="s">
        <v>37</v>
      </c>
      <c r="C2" s="3" t="s">
        <v>8</v>
      </c>
      <c r="D2" s="3" t="s">
        <v>126</v>
      </c>
      <c r="E2" s="3" t="s">
        <v>42</v>
      </c>
      <c r="F2" s="3" t="s">
        <v>42</v>
      </c>
      <c r="G2">
        <v>1</v>
      </c>
      <c r="H2">
        <v>0</v>
      </c>
      <c r="I2" s="3">
        <v>0</v>
      </c>
      <c r="J2" s="3">
        <v>0</v>
      </c>
      <c r="K2" s="3">
        <v>0</v>
      </c>
    </row>
    <row r="3" spans="1:11" x14ac:dyDescent="0.3">
      <c r="A3" s="3" t="s">
        <v>38</v>
      </c>
      <c r="B3" s="3" t="s">
        <v>36</v>
      </c>
      <c r="C3" s="3" t="s">
        <v>127</v>
      </c>
      <c r="D3" s="3" t="s">
        <v>126</v>
      </c>
      <c r="E3" s="3" t="s">
        <v>43</v>
      </c>
      <c r="F3" s="3" t="s">
        <v>73</v>
      </c>
      <c r="G3">
        <v>1</v>
      </c>
      <c r="H3">
        <v>1</v>
      </c>
      <c r="I3" s="3">
        <v>0.5</v>
      </c>
      <c r="J3" s="3">
        <v>10</v>
      </c>
      <c r="K3" s="3">
        <v>50</v>
      </c>
    </row>
    <row r="4" spans="1:11" x14ac:dyDescent="0.3">
      <c r="A4" s="3" t="s">
        <v>39</v>
      </c>
      <c r="B4" s="3" t="s">
        <v>36</v>
      </c>
      <c r="C4" s="3" t="s">
        <v>127</v>
      </c>
      <c r="D4" s="3" t="s">
        <v>126</v>
      </c>
      <c r="E4" s="3" t="s">
        <v>76</v>
      </c>
      <c r="F4" s="3" t="s">
        <v>74</v>
      </c>
      <c r="G4">
        <v>1</v>
      </c>
      <c r="H4">
        <v>0</v>
      </c>
      <c r="I4" s="3">
        <v>0</v>
      </c>
      <c r="J4" s="3">
        <v>0</v>
      </c>
      <c r="K4" s="3">
        <v>0</v>
      </c>
    </row>
    <row r="5" spans="1:11" x14ac:dyDescent="0.3">
      <c r="A5" s="3" t="s">
        <v>40</v>
      </c>
      <c r="B5" s="3" t="s">
        <v>36</v>
      </c>
      <c r="C5" s="3" t="s">
        <v>127</v>
      </c>
      <c r="D5" s="3" t="s">
        <v>126</v>
      </c>
      <c r="E5" s="3" t="s">
        <v>77</v>
      </c>
      <c r="F5" s="3" t="s">
        <v>74</v>
      </c>
      <c r="G5">
        <v>1</v>
      </c>
      <c r="H5">
        <v>1</v>
      </c>
      <c r="I5" s="3">
        <v>0.5</v>
      </c>
      <c r="J5" s="3">
        <v>5</v>
      </c>
      <c r="K5" s="3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M25"/>
  <sheetViews>
    <sheetView workbookViewId="0">
      <selection sqref="A1:A1048576"/>
    </sheetView>
  </sheetViews>
  <sheetFormatPr defaultRowHeight="14.4" x14ac:dyDescent="0.3"/>
  <cols>
    <col min="1" max="1" width="19.33203125" style="4" customWidth="1"/>
    <col min="2" max="5" width="11.44140625" customWidth="1"/>
    <col min="6" max="13" width="11.109375" customWidth="1"/>
  </cols>
  <sheetData>
    <row r="1" spans="1:13" s="2" customFormat="1" x14ac:dyDescent="0.3">
      <c r="A1" s="2" t="s">
        <v>30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</row>
    <row r="2" spans="1:13" x14ac:dyDescent="0.3">
      <c r="A2" s="4">
        <f>IF(timeseries!A2&lt;&gt;"",timeseries!A2,"")</f>
        <v>45383</v>
      </c>
      <c r="B2">
        <v>48</v>
      </c>
      <c r="C2">
        <v>5</v>
      </c>
      <c r="D2">
        <v>4</v>
      </c>
      <c r="E2">
        <v>12</v>
      </c>
      <c r="F2">
        <v>72</v>
      </c>
      <c r="G2">
        <v>6</v>
      </c>
      <c r="H2">
        <v>4.8</v>
      </c>
      <c r="I2">
        <v>14.399999999999999</v>
      </c>
      <c r="J2">
        <v>24</v>
      </c>
      <c r="K2">
        <v>0</v>
      </c>
      <c r="L2">
        <v>0</v>
      </c>
      <c r="M2">
        <v>0</v>
      </c>
    </row>
    <row r="3" spans="1:13" x14ac:dyDescent="0.3">
      <c r="A3" s="4">
        <f>IF(timeseries!A3&lt;&gt;"",timeseries!A3,"")</f>
        <v>45383.041666666664</v>
      </c>
      <c r="B3">
        <v>60</v>
      </c>
      <c r="C3">
        <v>34</v>
      </c>
      <c r="D3">
        <v>56</v>
      </c>
      <c r="E3">
        <v>71</v>
      </c>
      <c r="F3">
        <v>90</v>
      </c>
      <c r="G3">
        <v>40.799999999999997</v>
      </c>
      <c r="H3">
        <v>67.2</v>
      </c>
      <c r="I3">
        <v>85.2</v>
      </c>
      <c r="J3">
        <v>30</v>
      </c>
      <c r="K3">
        <v>0</v>
      </c>
      <c r="L3">
        <v>0</v>
      </c>
      <c r="M3">
        <v>0</v>
      </c>
    </row>
    <row r="4" spans="1:13" x14ac:dyDescent="0.3">
      <c r="A4" s="4">
        <f>IF(timeseries!A4&lt;&gt;"",timeseries!A4,"")</f>
        <v>45383.083333333336</v>
      </c>
      <c r="B4">
        <v>58</v>
      </c>
      <c r="C4">
        <v>92</v>
      </c>
      <c r="D4">
        <v>44</v>
      </c>
      <c r="E4">
        <v>42</v>
      </c>
      <c r="F4">
        <v>87</v>
      </c>
      <c r="G4">
        <v>110.39999999999999</v>
      </c>
      <c r="H4">
        <v>52.8</v>
      </c>
      <c r="I4">
        <v>50.4</v>
      </c>
      <c r="J4">
        <v>29</v>
      </c>
      <c r="K4">
        <v>0</v>
      </c>
      <c r="L4">
        <v>0</v>
      </c>
      <c r="M4">
        <v>0</v>
      </c>
    </row>
    <row r="5" spans="1:13" x14ac:dyDescent="0.3">
      <c r="A5" s="4">
        <f>IF(timeseries!A5&lt;&gt;"",timeseries!A5,"")</f>
        <v>45383.125</v>
      </c>
      <c r="B5">
        <v>51</v>
      </c>
      <c r="C5">
        <v>66</v>
      </c>
      <c r="D5">
        <v>86</v>
      </c>
      <c r="E5">
        <v>39</v>
      </c>
      <c r="F5">
        <v>76.5</v>
      </c>
      <c r="G5">
        <v>79.2</v>
      </c>
      <c r="H5">
        <v>103.2</v>
      </c>
      <c r="I5">
        <v>46.8</v>
      </c>
      <c r="J5">
        <v>25.5</v>
      </c>
      <c r="K5">
        <v>0</v>
      </c>
      <c r="L5">
        <v>0</v>
      </c>
      <c r="M5">
        <v>0</v>
      </c>
    </row>
    <row r="6" spans="1:13" x14ac:dyDescent="0.3">
      <c r="A6" s="4">
        <f>IF(timeseries!A6&lt;&gt;"",timeseries!A6,"")</f>
        <v>45383.166666666664</v>
      </c>
      <c r="B6">
        <v>37</v>
      </c>
      <c r="C6">
        <v>64</v>
      </c>
      <c r="D6">
        <v>10</v>
      </c>
      <c r="E6">
        <v>78</v>
      </c>
      <c r="F6">
        <v>55.5</v>
      </c>
      <c r="G6">
        <v>76.8</v>
      </c>
      <c r="H6">
        <v>12</v>
      </c>
      <c r="I6">
        <v>93.6</v>
      </c>
      <c r="J6">
        <v>18.5</v>
      </c>
      <c r="K6">
        <v>0</v>
      </c>
      <c r="L6">
        <v>0</v>
      </c>
      <c r="M6">
        <v>0</v>
      </c>
    </row>
    <row r="7" spans="1:13" x14ac:dyDescent="0.3">
      <c r="A7" s="4">
        <f>IF(timeseries!A7&lt;&gt;"",timeseries!A7,"")</f>
        <v>45383.208333333336</v>
      </c>
      <c r="B7">
        <v>34</v>
      </c>
      <c r="C7">
        <v>7</v>
      </c>
      <c r="D7">
        <v>5</v>
      </c>
      <c r="E7">
        <v>100</v>
      </c>
      <c r="F7">
        <v>51</v>
      </c>
      <c r="G7">
        <v>8.4</v>
      </c>
      <c r="H7">
        <v>6</v>
      </c>
      <c r="I7">
        <v>120</v>
      </c>
      <c r="J7">
        <v>17</v>
      </c>
      <c r="K7">
        <v>0</v>
      </c>
      <c r="L7">
        <v>0</v>
      </c>
      <c r="M7">
        <v>0</v>
      </c>
    </row>
    <row r="8" spans="1:13" x14ac:dyDescent="0.3">
      <c r="A8" s="4">
        <f>IF(timeseries!A8&lt;&gt;"",timeseries!A8,"")</f>
        <v>45383.25</v>
      </c>
      <c r="B8">
        <v>45</v>
      </c>
      <c r="C8">
        <v>92</v>
      </c>
      <c r="D8">
        <v>12</v>
      </c>
      <c r="E8">
        <v>7</v>
      </c>
      <c r="F8">
        <v>67.5</v>
      </c>
      <c r="G8">
        <v>110.39999999999999</v>
      </c>
      <c r="H8">
        <v>14.399999999999999</v>
      </c>
      <c r="I8">
        <v>8.4</v>
      </c>
      <c r="J8">
        <v>22.5</v>
      </c>
      <c r="K8">
        <v>0</v>
      </c>
      <c r="L8">
        <v>0</v>
      </c>
      <c r="M8">
        <v>0</v>
      </c>
    </row>
    <row r="9" spans="1:13" x14ac:dyDescent="0.3">
      <c r="A9" s="4">
        <f>IF(timeseries!A9&lt;&gt;"",timeseries!A9,"")</f>
        <v>45383.291666666664</v>
      </c>
      <c r="B9">
        <v>41</v>
      </c>
      <c r="C9">
        <v>94</v>
      </c>
      <c r="D9">
        <v>50</v>
      </c>
      <c r="E9">
        <v>49</v>
      </c>
      <c r="F9">
        <v>61.5</v>
      </c>
      <c r="G9">
        <v>112.8</v>
      </c>
      <c r="H9">
        <v>60</v>
      </c>
      <c r="I9">
        <v>58.8</v>
      </c>
      <c r="J9">
        <v>20.5</v>
      </c>
      <c r="K9">
        <v>0</v>
      </c>
      <c r="L9">
        <v>0</v>
      </c>
      <c r="M9">
        <v>0</v>
      </c>
    </row>
    <row r="10" spans="1:13" x14ac:dyDescent="0.3">
      <c r="A10" s="4">
        <f>IF(timeseries!A10&lt;&gt;"",timeseries!A10,"")</f>
        <v>45383.333333333336</v>
      </c>
      <c r="B10">
        <v>55</v>
      </c>
      <c r="C10">
        <v>87</v>
      </c>
      <c r="D10">
        <v>99</v>
      </c>
      <c r="E10">
        <v>94</v>
      </c>
      <c r="F10">
        <v>82.5</v>
      </c>
      <c r="G10">
        <v>104.39999999999999</v>
      </c>
      <c r="H10">
        <v>118.8</v>
      </c>
      <c r="I10">
        <v>112.8</v>
      </c>
      <c r="J10">
        <v>27.5</v>
      </c>
      <c r="K10">
        <v>0</v>
      </c>
      <c r="L10">
        <v>0</v>
      </c>
      <c r="M10">
        <v>0</v>
      </c>
    </row>
    <row r="11" spans="1:13" x14ac:dyDescent="0.3">
      <c r="A11" s="4">
        <f>IF(timeseries!A11&lt;&gt;"",timeseries!A11,"")</f>
        <v>45383.375</v>
      </c>
      <c r="B11">
        <v>59</v>
      </c>
      <c r="C11">
        <v>3</v>
      </c>
      <c r="D11">
        <v>78</v>
      </c>
      <c r="E11">
        <v>88</v>
      </c>
      <c r="F11">
        <v>88.5</v>
      </c>
      <c r="G11">
        <v>3.5999999999999996</v>
      </c>
      <c r="H11">
        <v>93.6</v>
      </c>
      <c r="I11">
        <v>105.6</v>
      </c>
      <c r="J11">
        <v>29.5</v>
      </c>
      <c r="K11">
        <v>0</v>
      </c>
      <c r="L11">
        <v>0</v>
      </c>
      <c r="M11">
        <v>0</v>
      </c>
    </row>
    <row r="12" spans="1:13" x14ac:dyDescent="0.3">
      <c r="A12" s="4">
        <f>IF(timeseries!A12&lt;&gt;"",timeseries!A12,"")</f>
        <v>45383.416666666664</v>
      </c>
      <c r="B12">
        <v>60</v>
      </c>
      <c r="C12">
        <v>44</v>
      </c>
      <c r="D12">
        <v>25</v>
      </c>
      <c r="E12">
        <v>24</v>
      </c>
      <c r="F12">
        <v>90</v>
      </c>
      <c r="G12">
        <v>52.8</v>
      </c>
      <c r="H12">
        <v>30</v>
      </c>
      <c r="I12">
        <v>28.799999999999997</v>
      </c>
      <c r="J12">
        <v>30</v>
      </c>
      <c r="K12">
        <v>0</v>
      </c>
      <c r="L12">
        <v>0</v>
      </c>
      <c r="M12">
        <v>0</v>
      </c>
    </row>
    <row r="13" spans="1:13" x14ac:dyDescent="0.3">
      <c r="A13" s="4">
        <f>IF(timeseries!A13&lt;&gt;"",timeseries!A13,"")</f>
        <v>45383.458333333336</v>
      </c>
      <c r="B13">
        <v>41</v>
      </c>
      <c r="C13">
        <v>99</v>
      </c>
      <c r="D13">
        <v>66</v>
      </c>
      <c r="E13">
        <v>75</v>
      </c>
      <c r="F13">
        <v>61.5</v>
      </c>
      <c r="G13">
        <v>118.8</v>
      </c>
      <c r="H13">
        <v>79.2</v>
      </c>
      <c r="I13">
        <v>90</v>
      </c>
      <c r="J13">
        <v>20.5</v>
      </c>
      <c r="K13">
        <v>0</v>
      </c>
      <c r="L13">
        <v>0</v>
      </c>
      <c r="M13">
        <v>0</v>
      </c>
    </row>
    <row r="14" spans="1:13" x14ac:dyDescent="0.3">
      <c r="A14" s="4">
        <f>IF(timeseries!A14&lt;&gt;"",timeseries!A14,"")</f>
        <v>45383.5</v>
      </c>
      <c r="B14">
        <v>46</v>
      </c>
      <c r="C14">
        <v>60</v>
      </c>
      <c r="D14">
        <v>15</v>
      </c>
      <c r="E14">
        <v>40</v>
      </c>
      <c r="F14">
        <v>69</v>
      </c>
      <c r="G14">
        <v>72</v>
      </c>
      <c r="H14">
        <v>18</v>
      </c>
      <c r="I14">
        <v>48</v>
      </c>
      <c r="J14">
        <v>23</v>
      </c>
      <c r="K14">
        <v>0</v>
      </c>
      <c r="L14">
        <v>0</v>
      </c>
      <c r="M14">
        <v>0</v>
      </c>
    </row>
    <row r="15" spans="1:13" x14ac:dyDescent="0.3">
      <c r="A15" s="4">
        <f>IF(timeseries!A15&lt;&gt;"",timeseries!A15,"")</f>
        <v>45383.541666666664</v>
      </c>
      <c r="B15">
        <v>38</v>
      </c>
      <c r="C15">
        <v>91</v>
      </c>
      <c r="D15">
        <v>79</v>
      </c>
      <c r="E15">
        <v>95</v>
      </c>
      <c r="F15">
        <v>57</v>
      </c>
      <c r="G15">
        <v>109.2</v>
      </c>
      <c r="H15">
        <v>94.8</v>
      </c>
      <c r="I15">
        <v>114</v>
      </c>
      <c r="J15">
        <v>19</v>
      </c>
      <c r="K15">
        <v>0</v>
      </c>
      <c r="L15">
        <v>0</v>
      </c>
      <c r="M15">
        <v>0</v>
      </c>
    </row>
    <row r="16" spans="1:13" x14ac:dyDescent="0.3">
      <c r="A16" s="4">
        <f>IF(timeseries!A16&lt;&gt;"",timeseries!A16,"")</f>
        <v>45383.583333333336</v>
      </c>
      <c r="B16">
        <v>46</v>
      </c>
      <c r="C16">
        <v>67</v>
      </c>
      <c r="D16">
        <v>60</v>
      </c>
      <c r="E16">
        <v>71</v>
      </c>
      <c r="F16">
        <v>69</v>
      </c>
      <c r="G16">
        <v>80.399999999999991</v>
      </c>
      <c r="H16">
        <v>72</v>
      </c>
      <c r="I16">
        <v>85.2</v>
      </c>
      <c r="J16">
        <v>23</v>
      </c>
      <c r="K16">
        <v>0</v>
      </c>
      <c r="L16">
        <v>0</v>
      </c>
      <c r="M16">
        <v>0</v>
      </c>
    </row>
    <row r="17" spans="1:13" x14ac:dyDescent="0.3">
      <c r="A17" s="4">
        <f>IF(timeseries!A17&lt;&gt;"",timeseries!A17,"")</f>
        <v>45383.625</v>
      </c>
      <c r="B17">
        <v>45</v>
      </c>
      <c r="C17">
        <v>85</v>
      </c>
      <c r="D17">
        <v>70</v>
      </c>
      <c r="E17">
        <v>19</v>
      </c>
      <c r="F17">
        <v>67.5</v>
      </c>
      <c r="G17">
        <v>102</v>
      </c>
      <c r="H17">
        <v>84</v>
      </c>
      <c r="I17">
        <v>22.8</v>
      </c>
      <c r="J17">
        <v>22.5</v>
      </c>
      <c r="K17">
        <v>0</v>
      </c>
      <c r="L17">
        <v>0</v>
      </c>
      <c r="M17">
        <v>0</v>
      </c>
    </row>
    <row r="18" spans="1:13" x14ac:dyDescent="0.3">
      <c r="A18" s="4">
        <f>IF(timeseries!A18&lt;&gt;"",timeseries!A18,"")</f>
        <v>45383.666666666664</v>
      </c>
      <c r="B18">
        <v>41</v>
      </c>
      <c r="C18">
        <v>42</v>
      </c>
      <c r="D18">
        <v>21</v>
      </c>
      <c r="E18">
        <v>79</v>
      </c>
      <c r="F18">
        <v>61.5</v>
      </c>
      <c r="G18">
        <v>50.4</v>
      </c>
      <c r="H18">
        <v>25.2</v>
      </c>
      <c r="I18">
        <v>94.8</v>
      </c>
      <c r="J18">
        <v>20.5</v>
      </c>
      <c r="K18">
        <v>0</v>
      </c>
      <c r="L18">
        <v>0</v>
      </c>
      <c r="M18">
        <v>0</v>
      </c>
    </row>
    <row r="19" spans="1:13" x14ac:dyDescent="0.3">
      <c r="A19" s="4">
        <f>IF(timeseries!A19&lt;&gt;"",timeseries!A19,"")</f>
        <v>45383.708333333336</v>
      </c>
      <c r="B19">
        <v>46</v>
      </c>
      <c r="C19">
        <v>71</v>
      </c>
      <c r="D19">
        <v>78</v>
      </c>
      <c r="E19">
        <v>38</v>
      </c>
      <c r="F19">
        <v>69</v>
      </c>
      <c r="G19">
        <v>85.2</v>
      </c>
      <c r="H19">
        <v>93.6</v>
      </c>
      <c r="I19">
        <v>45.6</v>
      </c>
      <c r="J19">
        <v>23</v>
      </c>
      <c r="K19">
        <v>0</v>
      </c>
      <c r="L19">
        <v>0</v>
      </c>
      <c r="M19">
        <v>0</v>
      </c>
    </row>
    <row r="20" spans="1:13" x14ac:dyDescent="0.3">
      <c r="A20" s="4">
        <f>IF(timeseries!A20&lt;&gt;"",timeseries!A20,"")</f>
        <v>45383.75</v>
      </c>
      <c r="B20">
        <v>52</v>
      </c>
      <c r="C20">
        <v>76</v>
      </c>
      <c r="D20">
        <v>79</v>
      </c>
      <c r="E20">
        <v>39</v>
      </c>
      <c r="F20">
        <v>78</v>
      </c>
      <c r="G20">
        <v>91.2</v>
      </c>
      <c r="H20">
        <v>94.8</v>
      </c>
      <c r="I20">
        <v>46.8</v>
      </c>
      <c r="J20">
        <v>26</v>
      </c>
      <c r="K20">
        <v>0</v>
      </c>
      <c r="L20">
        <v>0</v>
      </c>
      <c r="M20">
        <v>0</v>
      </c>
    </row>
    <row r="21" spans="1:13" x14ac:dyDescent="0.3">
      <c r="A21" s="4">
        <f>IF(timeseries!A21&lt;&gt;"",timeseries!A21,"")</f>
        <v>45383.791666666664</v>
      </c>
      <c r="B21">
        <v>56</v>
      </c>
      <c r="C21">
        <v>70</v>
      </c>
      <c r="D21">
        <v>28</v>
      </c>
      <c r="E21">
        <v>1</v>
      </c>
      <c r="F21">
        <v>84</v>
      </c>
      <c r="G21">
        <v>84</v>
      </c>
      <c r="H21">
        <v>33.6</v>
      </c>
      <c r="I21">
        <v>1.2</v>
      </c>
      <c r="J21">
        <v>28</v>
      </c>
      <c r="K21">
        <v>0</v>
      </c>
      <c r="L21">
        <v>0</v>
      </c>
      <c r="M21">
        <v>0</v>
      </c>
    </row>
    <row r="22" spans="1:13" x14ac:dyDescent="0.3">
      <c r="A22" s="4">
        <f>IF(timeseries!A22&lt;&gt;"",timeseries!A22,"")</f>
        <v>45383.833333333336</v>
      </c>
      <c r="B22">
        <v>33</v>
      </c>
      <c r="C22">
        <v>74</v>
      </c>
      <c r="D22">
        <v>9</v>
      </c>
      <c r="E22">
        <v>23</v>
      </c>
      <c r="F22">
        <v>49.5</v>
      </c>
      <c r="G22">
        <v>88.8</v>
      </c>
      <c r="H22">
        <v>10.799999999999999</v>
      </c>
      <c r="I22">
        <v>27.599999999999998</v>
      </c>
      <c r="J22">
        <v>16.5</v>
      </c>
      <c r="K22">
        <v>0</v>
      </c>
      <c r="L22">
        <v>0</v>
      </c>
      <c r="M22">
        <v>0</v>
      </c>
    </row>
    <row r="23" spans="1:13" x14ac:dyDescent="0.3">
      <c r="A23" s="4">
        <f>IF(timeseries!A23&lt;&gt;"",timeseries!A23,"")</f>
        <v>45383.875</v>
      </c>
      <c r="B23">
        <v>43</v>
      </c>
      <c r="C23">
        <v>84</v>
      </c>
      <c r="D23">
        <v>32</v>
      </c>
      <c r="E23">
        <v>47</v>
      </c>
      <c r="F23">
        <v>64.5</v>
      </c>
      <c r="G23">
        <v>100.8</v>
      </c>
      <c r="H23">
        <v>38.4</v>
      </c>
      <c r="I23">
        <v>56.4</v>
      </c>
      <c r="J23">
        <v>21.5</v>
      </c>
      <c r="K23">
        <v>0</v>
      </c>
      <c r="L23">
        <v>0</v>
      </c>
      <c r="M23">
        <v>0</v>
      </c>
    </row>
    <row r="24" spans="1:13" x14ac:dyDescent="0.3">
      <c r="A24" s="4">
        <f>IF(timeseries!A24&lt;&gt;"",timeseries!A24,"")</f>
        <v>45383.916666666664</v>
      </c>
      <c r="B24">
        <v>57</v>
      </c>
      <c r="C24">
        <v>59</v>
      </c>
      <c r="D24">
        <v>40</v>
      </c>
      <c r="E24">
        <v>24</v>
      </c>
      <c r="F24">
        <v>85.5</v>
      </c>
      <c r="G24">
        <v>70.8</v>
      </c>
      <c r="H24">
        <v>48</v>
      </c>
      <c r="I24">
        <v>28.799999999999997</v>
      </c>
      <c r="J24">
        <v>28.5</v>
      </c>
      <c r="K24">
        <v>0</v>
      </c>
      <c r="L24">
        <v>0</v>
      </c>
      <c r="M24">
        <v>0</v>
      </c>
    </row>
    <row r="25" spans="1:13" x14ac:dyDescent="0.3">
      <c r="A25" s="4">
        <f>IF(timeseries!A25&lt;&gt;"",timeseries!A25,"")</f>
        <v>45383.958333333336</v>
      </c>
      <c r="B25">
        <v>32</v>
      </c>
      <c r="C25">
        <v>65</v>
      </c>
      <c r="D25">
        <v>53</v>
      </c>
      <c r="E25">
        <v>96</v>
      </c>
      <c r="F25">
        <v>48</v>
      </c>
      <c r="G25">
        <v>78</v>
      </c>
      <c r="H25">
        <v>63.599999999999994</v>
      </c>
      <c r="I25">
        <v>115.19999999999999</v>
      </c>
      <c r="J25">
        <v>16</v>
      </c>
      <c r="K25">
        <v>0</v>
      </c>
      <c r="L25">
        <v>0</v>
      </c>
      <c r="M2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J25"/>
  <sheetViews>
    <sheetView topLeftCell="A2" workbookViewId="0">
      <selection activeCell="A27" sqref="A27"/>
    </sheetView>
  </sheetViews>
  <sheetFormatPr defaultRowHeight="14.4" x14ac:dyDescent="0.3"/>
  <cols>
    <col min="1" max="1" width="19.33203125" style="4" customWidth="1"/>
    <col min="2" max="3" width="6.5546875" customWidth="1"/>
  </cols>
  <sheetData>
    <row r="1" spans="1:10" x14ac:dyDescent="0.3">
      <c r="A1" s="2" t="s">
        <v>30</v>
      </c>
      <c r="B1" t="s">
        <v>56</v>
      </c>
      <c r="C1" t="s">
        <v>60</v>
      </c>
      <c r="D1" t="s">
        <v>64</v>
      </c>
      <c r="E1" t="s">
        <v>57</v>
      </c>
      <c r="F1" t="s">
        <v>61</v>
      </c>
      <c r="G1" t="s">
        <v>65</v>
      </c>
      <c r="H1" s="3" t="s">
        <v>58</v>
      </c>
      <c r="I1" s="3" t="s">
        <v>62</v>
      </c>
      <c r="J1" s="3" t="s">
        <v>66</v>
      </c>
    </row>
    <row r="2" spans="1:10" x14ac:dyDescent="0.3">
      <c r="A2" s="4">
        <f>IF(timeseries!A2&lt;&gt;"",timeseries!A2,"")</f>
        <v>45383</v>
      </c>
      <c r="B2">
        <v>0.2</v>
      </c>
      <c r="C2">
        <v>0.3</v>
      </c>
      <c r="D2">
        <v>0.2</v>
      </c>
      <c r="E2">
        <v>0.2</v>
      </c>
      <c r="F2">
        <v>0.3</v>
      </c>
      <c r="G2">
        <v>0.2</v>
      </c>
      <c r="H2">
        <v>0.2</v>
      </c>
      <c r="I2">
        <v>0.3</v>
      </c>
      <c r="J2">
        <v>0.2</v>
      </c>
    </row>
    <row r="3" spans="1:10" x14ac:dyDescent="0.3">
      <c r="A3" s="4">
        <f>IF(timeseries!A3&lt;&gt;"",timeseries!A3,"")</f>
        <v>45383.041666666664</v>
      </c>
      <c r="B3">
        <v>0.2</v>
      </c>
      <c r="C3">
        <v>0.3</v>
      </c>
      <c r="D3">
        <v>0.2</v>
      </c>
      <c r="E3">
        <v>0.2</v>
      </c>
      <c r="F3">
        <v>0.3</v>
      </c>
      <c r="G3">
        <v>0.2</v>
      </c>
      <c r="H3">
        <v>0.2</v>
      </c>
      <c r="I3">
        <v>0.3</v>
      </c>
      <c r="J3">
        <v>0.2</v>
      </c>
    </row>
    <row r="4" spans="1:10" x14ac:dyDescent="0.3">
      <c r="A4" s="4">
        <f>IF(timeseries!A4&lt;&gt;"",timeseries!A4,"")</f>
        <v>45383.083333333336</v>
      </c>
      <c r="B4">
        <v>0.2</v>
      </c>
      <c r="C4">
        <v>0.3</v>
      </c>
      <c r="D4">
        <v>0.2</v>
      </c>
      <c r="E4">
        <v>0.2</v>
      </c>
      <c r="F4">
        <v>0.3</v>
      </c>
      <c r="G4">
        <v>0.2</v>
      </c>
      <c r="H4">
        <v>0.2</v>
      </c>
      <c r="I4">
        <v>0.3</v>
      </c>
      <c r="J4">
        <v>0.2</v>
      </c>
    </row>
    <row r="5" spans="1:10" x14ac:dyDescent="0.3">
      <c r="A5" s="4">
        <f>IF(timeseries!A5&lt;&gt;"",timeseries!A5,"")</f>
        <v>45383.125</v>
      </c>
      <c r="B5">
        <v>0.2</v>
      </c>
      <c r="C5">
        <v>0.3</v>
      </c>
      <c r="D5">
        <v>0.2</v>
      </c>
      <c r="E5">
        <v>0.2</v>
      </c>
      <c r="F5">
        <v>0.3</v>
      </c>
      <c r="G5">
        <v>0.2</v>
      </c>
      <c r="H5">
        <v>0.2</v>
      </c>
      <c r="I5">
        <v>0.3</v>
      </c>
      <c r="J5">
        <v>0.2</v>
      </c>
    </row>
    <row r="6" spans="1:10" x14ac:dyDescent="0.3">
      <c r="A6" s="4">
        <f>IF(timeseries!A6&lt;&gt;"",timeseries!A6,"")</f>
        <v>45383.166666666664</v>
      </c>
      <c r="B6">
        <v>0.2</v>
      </c>
      <c r="C6">
        <v>0.3</v>
      </c>
      <c r="D6">
        <v>0.2</v>
      </c>
      <c r="E6">
        <v>0.2</v>
      </c>
      <c r="F6">
        <v>0.3</v>
      </c>
      <c r="G6">
        <v>0.2</v>
      </c>
      <c r="H6">
        <v>0.2</v>
      </c>
      <c r="I6">
        <v>0.3</v>
      </c>
      <c r="J6">
        <v>0.2</v>
      </c>
    </row>
    <row r="7" spans="1:10" x14ac:dyDescent="0.3">
      <c r="A7" s="4">
        <f>IF(timeseries!A7&lt;&gt;"",timeseries!A7,"")</f>
        <v>45383.208333333336</v>
      </c>
      <c r="B7">
        <v>0.2</v>
      </c>
      <c r="C7">
        <v>0.3</v>
      </c>
      <c r="D7">
        <v>0.2</v>
      </c>
      <c r="E7">
        <v>0.2</v>
      </c>
      <c r="F7">
        <v>0.3</v>
      </c>
      <c r="G7">
        <v>0.2</v>
      </c>
      <c r="H7">
        <v>0.2</v>
      </c>
      <c r="I7">
        <v>0.3</v>
      </c>
      <c r="J7">
        <v>0.2</v>
      </c>
    </row>
    <row r="8" spans="1:10" x14ac:dyDescent="0.3">
      <c r="A8" s="4">
        <f>IF(timeseries!A8&lt;&gt;"",timeseries!A8,"")</f>
        <v>45383.25</v>
      </c>
      <c r="B8">
        <v>0.2</v>
      </c>
      <c r="C8">
        <v>0.3</v>
      </c>
      <c r="D8">
        <v>0.2</v>
      </c>
      <c r="E8">
        <v>0.2</v>
      </c>
      <c r="F8">
        <v>0.3</v>
      </c>
      <c r="G8">
        <v>0.2</v>
      </c>
      <c r="H8">
        <v>0.2</v>
      </c>
      <c r="I8">
        <v>0.3</v>
      </c>
      <c r="J8">
        <v>0.2</v>
      </c>
    </row>
    <row r="9" spans="1:10" x14ac:dyDescent="0.3">
      <c r="A9" s="4">
        <f>IF(timeseries!A9&lt;&gt;"",timeseries!A9,"")</f>
        <v>45383.291666666664</v>
      </c>
      <c r="B9">
        <v>0.2</v>
      </c>
      <c r="C9">
        <v>0.3</v>
      </c>
      <c r="D9">
        <v>0.2</v>
      </c>
      <c r="E9">
        <v>0.2</v>
      </c>
      <c r="F9">
        <v>0.3</v>
      </c>
      <c r="G9">
        <v>0.2</v>
      </c>
      <c r="H9">
        <v>0.2</v>
      </c>
      <c r="I9">
        <v>0.3</v>
      </c>
      <c r="J9">
        <v>0.2</v>
      </c>
    </row>
    <row r="10" spans="1:10" x14ac:dyDescent="0.3">
      <c r="A10" s="4">
        <f>IF(timeseries!A10&lt;&gt;"",timeseries!A10,"")</f>
        <v>45383.333333333336</v>
      </c>
      <c r="B10">
        <v>0.2</v>
      </c>
      <c r="C10">
        <v>0.3</v>
      </c>
      <c r="D10">
        <v>0.2</v>
      </c>
      <c r="E10">
        <v>0.2</v>
      </c>
      <c r="F10">
        <v>0.3</v>
      </c>
      <c r="G10">
        <v>0.2</v>
      </c>
      <c r="H10">
        <v>0.2</v>
      </c>
      <c r="I10">
        <v>0.3</v>
      </c>
      <c r="J10">
        <v>0.2</v>
      </c>
    </row>
    <row r="11" spans="1:10" x14ac:dyDescent="0.3">
      <c r="A11" s="4">
        <f>IF(timeseries!A11&lt;&gt;"",timeseries!A11,"")</f>
        <v>45383.375</v>
      </c>
      <c r="B11">
        <v>0.2</v>
      </c>
      <c r="C11">
        <v>0.3</v>
      </c>
      <c r="D11">
        <v>0.2</v>
      </c>
      <c r="E11">
        <v>0.2</v>
      </c>
      <c r="F11">
        <v>0.3</v>
      </c>
      <c r="G11">
        <v>0.2</v>
      </c>
      <c r="H11">
        <v>0.2</v>
      </c>
      <c r="I11">
        <v>0.3</v>
      </c>
      <c r="J11">
        <v>0.2</v>
      </c>
    </row>
    <row r="12" spans="1:10" x14ac:dyDescent="0.3">
      <c r="A12" s="4">
        <f>IF(timeseries!A12&lt;&gt;"",timeseries!A12,"")</f>
        <v>45383.416666666664</v>
      </c>
      <c r="B12">
        <v>0.2</v>
      </c>
      <c r="C12">
        <v>0.3</v>
      </c>
      <c r="D12">
        <v>0.2</v>
      </c>
      <c r="E12">
        <v>0.2</v>
      </c>
      <c r="F12">
        <v>0.3</v>
      </c>
      <c r="G12">
        <v>0.2</v>
      </c>
      <c r="H12">
        <v>0.2</v>
      </c>
      <c r="I12">
        <v>0.3</v>
      </c>
      <c r="J12">
        <v>0.2</v>
      </c>
    </row>
    <row r="13" spans="1:10" x14ac:dyDescent="0.3">
      <c r="A13" s="4">
        <f>IF(timeseries!A13&lt;&gt;"",timeseries!A13,"")</f>
        <v>45383.458333333336</v>
      </c>
      <c r="B13">
        <v>0.2</v>
      </c>
      <c r="C13">
        <v>0.3</v>
      </c>
      <c r="D13">
        <v>0.2</v>
      </c>
      <c r="E13">
        <v>0.2</v>
      </c>
      <c r="F13">
        <v>0.3</v>
      </c>
      <c r="G13">
        <v>0.2</v>
      </c>
      <c r="H13">
        <v>0.2</v>
      </c>
      <c r="I13">
        <v>0.3</v>
      </c>
      <c r="J13">
        <v>0.2</v>
      </c>
    </row>
    <row r="14" spans="1:10" x14ac:dyDescent="0.3">
      <c r="A14" s="4">
        <f>IF(timeseries!A14&lt;&gt;"",timeseries!A14,"")</f>
        <v>45383.5</v>
      </c>
      <c r="B14">
        <v>0.2</v>
      </c>
      <c r="C14">
        <v>0.3</v>
      </c>
      <c r="D14">
        <v>0.2</v>
      </c>
      <c r="E14">
        <v>0.2</v>
      </c>
      <c r="F14">
        <v>0.3</v>
      </c>
      <c r="G14">
        <v>0.2</v>
      </c>
      <c r="H14">
        <v>0.2</v>
      </c>
      <c r="I14">
        <v>0.3</v>
      </c>
      <c r="J14">
        <v>0.2</v>
      </c>
    </row>
    <row r="15" spans="1:10" x14ac:dyDescent="0.3">
      <c r="A15" s="4">
        <f>IF(timeseries!A15&lt;&gt;"",timeseries!A15,"")</f>
        <v>45383.541666666664</v>
      </c>
      <c r="B15">
        <v>0.2</v>
      </c>
      <c r="C15">
        <v>0.3</v>
      </c>
      <c r="D15">
        <v>0.2</v>
      </c>
      <c r="E15">
        <v>0.2</v>
      </c>
      <c r="F15">
        <v>0.3</v>
      </c>
      <c r="G15">
        <v>0.2</v>
      </c>
      <c r="H15">
        <v>0.2</v>
      </c>
      <c r="I15">
        <v>0.3</v>
      </c>
      <c r="J15">
        <v>0.2</v>
      </c>
    </row>
    <row r="16" spans="1:10" x14ac:dyDescent="0.3">
      <c r="A16" s="4">
        <f>IF(timeseries!A16&lt;&gt;"",timeseries!A16,"")</f>
        <v>45383.583333333336</v>
      </c>
      <c r="B16">
        <v>0.2</v>
      </c>
      <c r="C16">
        <v>0.3</v>
      </c>
      <c r="D16">
        <v>0.2</v>
      </c>
      <c r="E16">
        <v>0.2</v>
      </c>
      <c r="F16">
        <v>0.3</v>
      </c>
      <c r="G16">
        <v>0.2</v>
      </c>
      <c r="H16">
        <v>0.2</v>
      </c>
      <c r="I16">
        <v>0.3</v>
      </c>
      <c r="J16">
        <v>0.2</v>
      </c>
    </row>
    <row r="17" spans="1:10" x14ac:dyDescent="0.3">
      <c r="A17" s="4">
        <f>IF(timeseries!A17&lt;&gt;"",timeseries!A17,"")</f>
        <v>45383.625</v>
      </c>
      <c r="B17">
        <v>0.2</v>
      </c>
      <c r="C17">
        <v>0.3</v>
      </c>
      <c r="D17">
        <v>0.2</v>
      </c>
      <c r="E17">
        <v>0.2</v>
      </c>
      <c r="F17">
        <v>0.3</v>
      </c>
      <c r="G17">
        <v>0.2</v>
      </c>
      <c r="H17">
        <v>0.2</v>
      </c>
      <c r="I17">
        <v>0.3</v>
      </c>
      <c r="J17">
        <v>0.2</v>
      </c>
    </row>
    <row r="18" spans="1:10" x14ac:dyDescent="0.3">
      <c r="A18" s="4">
        <f>IF(timeseries!A18&lt;&gt;"",timeseries!A18,"")</f>
        <v>45383.666666666664</v>
      </c>
      <c r="B18">
        <v>0.2</v>
      </c>
      <c r="C18">
        <v>0.3</v>
      </c>
      <c r="D18">
        <v>0.2</v>
      </c>
      <c r="E18">
        <v>0.2</v>
      </c>
      <c r="F18">
        <v>0.3</v>
      </c>
      <c r="G18">
        <v>0.2</v>
      </c>
      <c r="H18">
        <v>0.2</v>
      </c>
      <c r="I18">
        <v>0.3</v>
      </c>
      <c r="J18">
        <v>0.2</v>
      </c>
    </row>
    <row r="19" spans="1:10" x14ac:dyDescent="0.3">
      <c r="A19" s="4">
        <f>IF(timeseries!A19&lt;&gt;"",timeseries!A19,"")</f>
        <v>45383.708333333336</v>
      </c>
      <c r="B19">
        <v>0.2</v>
      </c>
      <c r="C19">
        <v>0.3</v>
      </c>
      <c r="D19">
        <v>0.2</v>
      </c>
      <c r="E19">
        <v>0.2</v>
      </c>
      <c r="F19">
        <v>0.3</v>
      </c>
      <c r="G19">
        <v>0.2</v>
      </c>
      <c r="H19">
        <v>0.2</v>
      </c>
      <c r="I19">
        <v>0.3</v>
      </c>
      <c r="J19">
        <v>0.2</v>
      </c>
    </row>
    <row r="20" spans="1:10" x14ac:dyDescent="0.3">
      <c r="A20" s="4">
        <f>IF(timeseries!A20&lt;&gt;"",timeseries!A20,"")</f>
        <v>45383.75</v>
      </c>
      <c r="B20">
        <v>0.2</v>
      </c>
      <c r="C20">
        <v>0.3</v>
      </c>
      <c r="D20">
        <v>0.2</v>
      </c>
      <c r="E20">
        <v>0.2</v>
      </c>
      <c r="F20">
        <v>0.3</v>
      </c>
      <c r="G20">
        <v>0.2</v>
      </c>
      <c r="H20">
        <v>0.2</v>
      </c>
      <c r="I20">
        <v>0.3</v>
      </c>
      <c r="J20">
        <v>0.2</v>
      </c>
    </row>
    <row r="21" spans="1:10" x14ac:dyDescent="0.3">
      <c r="A21" s="4">
        <f>IF(timeseries!A21&lt;&gt;"",timeseries!A21,"")</f>
        <v>45383.791666666664</v>
      </c>
      <c r="B21">
        <v>0.2</v>
      </c>
      <c r="C21">
        <v>0.3</v>
      </c>
      <c r="D21">
        <v>0.2</v>
      </c>
      <c r="E21">
        <v>0.2</v>
      </c>
      <c r="F21">
        <v>0.3</v>
      </c>
      <c r="G21">
        <v>0.2</v>
      </c>
      <c r="H21">
        <v>0.2</v>
      </c>
      <c r="I21">
        <v>0.3</v>
      </c>
      <c r="J21">
        <v>0.2</v>
      </c>
    </row>
    <row r="22" spans="1:10" x14ac:dyDescent="0.3">
      <c r="A22" s="4">
        <f>IF(timeseries!A22&lt;&gt;"",timeseries!A22,"")</f>
        <v>45383.833333333336</v>
      </c>
      <c r="B22">
        <v>0.2</v>
      </c>
      <c r="C22">
        <v>0.3</v>
      </c>
      <c r="D22">
        <v>0.2</v>
      </c>
      <c r="E22">
        <v>0.2</v>
      </c>
      <c r="F22">
        <v>0.3</v>
      </c>
      <c r="G22">
        <v>0.2</v>
      </c>
      <c r="H22">
        <v>0.2</v>
      </c>
      <c r="I22">
        <v>0.3</v>
      </c>
      <c r="J22">
        <v>0.2</v>
      </c>
    </row>
    <row r="23" spans="1:10" x14ac:dyDescent="0.3">
      <c r="A23" s="4">
        <f>IF(timeseries!A23&lt;&gt;"",timeseries!A23,"")</f>
        <v>45383.875</v>
      </c>
      <c r="B23">
        <v>0.2</v>
      </c>
      <c r="C23">
        <v>0.3</v>
      </c>
      <c r="D23">
        <v>0.2</v>
      </c>
      <c r="E23">
        <v>0.2</v>
      </c>
      <c r="F23">
        <v>0.3</v>
      </c>
      <c r="G23">
        <v>0.2</v>
      </c>
      <c r="H23">
        <v>0.2</v>
      </c>
      <c r="I23">
        <v>0.3</v>
      </c>
      <c r="J23">
        <v>0.2</v>
      </c>
    </row>
    <row r="24" spans="1:10" x14ac:dyDescent="0.3">
      <c r="A24" s="4">
        <f>IF(timeseries!A24&lt;&gt;"",timeseries!A24,"")</f>
        <v>45383.916666666664</v>
      </c>
      <c r="B24">
        <v>0.2</v>
      </c>
      <c r="C24">
        <v>0.3</v>
      </c>
      <c r="D24">
        <v>0.2</v>
      </c>
      <c r="E24">
        <v>0.2</v>
      </c>
      <c r="F24">
        <v>0.3</v>
      </c>
      <c r="G24">
        <v>0.2</v>
      </c>
      <c r="H24">
        <v>0.2</v>
      </c>
      <c r="I24">
        <v>0.3</v>
      </c>
      <c r="J24">
        <v>0.2</v>
      </c>
    </row>
    <row r="25" spans="1:10" x14ac:dyDescent="0.3">
      <c r="A25" s="4">
        <f>IF(timeseries!A25&lt;&gt;"",timeseries!A25,"")</f>
        <v>45383.958333333336</v>
      </c>
      <c r="B25">
        <v>0.2</v>
      </c>
      <c r="C25">
        <v>0.3</v>
      </c>
      <c r="D25">
        <v>0.2</v>
      </c>
      <c r="E25">
        <v>0.2</v>
      </c>
      <c r="F25">
        <v>0.3</v>
      </c>
      <c r="G25">
        <v>0.2</v>
      </c>
      <c r="H25">
        <v>0.2</v>
      </c>
      <c r="I25">
        <v>0.3</v>
      </c>
      <c r="J25">
        <v>0.2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73BC-AF13-479D-8CEE-456838BE3521}">
  <dimension ref="A1:A25"/>
  <sheetViews>
    <sheetView workbookViewId="0">
      <selection activeCell="H18" sqref="H18"/>
    </sheetView>
  </sheetViews>
  <sheetFormatPr defaultRowHeight="14.4" x14ac:dyDescent="0.3"/>
  <cols>
    <col min="1" max="1" width="19.33203125" style="4" customWidth="1"/>
  </cols>
  <sheetData>
    <row r="1" spans="1:1" x14ac:dyDescent="0.3">
      <c r="A1" s="2" t="s">
        <v>30</v>
      </c>
    </row>
    <row r="2" spans="1:1" x14ac:dyDescent="0.3">
      <c r="A2" s="4">
        <f>IF(timeseries!A2&lt;&gt;"",timeseries!A2,"")</f>
        <v>45383</v>
      </c>
    </row>
    <row r="3" spans="1:1" x14ac:dyDescent="0.3">
      <c r="A3" s="4">
        <f>IF(timeseries!A3&lt;&gt;"",timeseries!A3,"")</f>
        <v>45383.041666666664</v>
      </c>
    </row>
    <row r="4" spans="1:1" x14ac:dyDescent="0.3">
      <c r="A4" s="4">
        <f>IF(timeseries!A4&lt;&gt;"",timeseries!A4,"")</f>
        <v>45383.083333333336</v>
      </c>
    </row>
    <row r="5" spans="1:1" x14ac:dyDescent="0.3">
      <c r="A5" s="4">
        <f>IF(timeseries!A5&lt;&gt;"",timeseries!A5,"")</f>
        <v>45383.125</v>
      </c>
    </row>
    <row r="6" spans="1:1" x14ac:dyDescent="0.3">
      <c r="A6" s="4">
        <f>IF(timeseries!A6&lt;&gt;"",timeseries!A6,"")</f>
        <v>45383.166666666664</v>
      </c>
    </row>
    <row r="7" spans="1:1" x14ac:dyDescent="0.3">
      <c r="A7" s="4">
        <f>IF(timeseries!A7&lt;&gt;"",timeseries!A7,"")</f>
        <v>45383.208333333336</v>
      </c>
    </row>
    <row r="8" spans="1:1" x14ac:dyDescent="0.3">
      <c r="A8" s="4">
        <f>IF(timeseries!A8&lt;&gt;"",timeseries!A8,"")</f>
        <v>45383.25</v>
      </c>
    </row>
    <row r="9" spans="1:1" x14ac:dyDescent="0.3">
      <c r="A9" s="4">
        <f>IF(timeseries!A9&lt;&gt;"",timeseries!A9,"")</f>
        <v>45383.291666666664</v>
      </c>
    </row>
    <row r="10" spans="1:1" x14ac:dyDescent="0.3">
      <c r="A10" s="4">
        <f>IF(timeseries!A10&lt;&gt;"",timeseries!A10,"")</f>
        <v>45383.333333333336</v>
      </c>
    </row>
    <row r="11" spans="1:1" x14ac:dyDescent="0.3">
      <c r="A11" s="4">
        <f>IF(timeseries!A11&lt;&gt;"",timeseries!A11,"")</f>
        <v>45383.375</v>
      </c>
    </row>
    <row r="12" spans="1:1" x14ac:dyDescent="0.3">
      <c r="A12" s="4">
        <f>IF(timeseries!A12&lt;&gt;"",timeseries!A12,"")</f>
        <v>45383.416666666664</v>
      </c>
    </row>
    <row r="13" spans="1:1" x14ac:dyDescent="0.3">
      <c r="A13" s="4">
        <f>IF(timeseries!A13&lt;&gt;"",timeseries!A13,"")</f>
        <v>45383.458333333336</v>
      </c>
    </row>
    <row r="14" spans="1:1" x14ac:dyDescent="0.3">
      <c r="A14" s="4">
        <f>IF(timeseries!A14&lt;&gt;"",timeseries!A14,"")</f>
        <v>45383.5</v>
      </c>
    </row>
    <row r="15" spans="1:1" x14ac:dyDescent="0.3">
      <c r="A15" s="4">
        <f>IF(timeseries!A15&lt;&gt;"",timeseries!A15,"")</f>
        <v>45383.541666666664</v>
      </c>
    </row>
    <row r="16" spans="1:1" x14ac:dyDescent="0.3">
      <c r="A16" s="4">
        <f>IF(timeseries!A16&lt;&gt;"",timeseries!A16,"")</f>
        <v>45383.583333333336</v>
      </c>
    </row>
    <row r="17" spans="1:1" x14ac:dyDescent="0.3">
      <c r="A17" s="4">
        <f>IF(timeseries!A17&lt;&gt;"",timeseries!A17,"")</f>
        <v>45383.625</v>
      </c>
    </row>
    <row r="18" spans="1:1" x14ac:dyDescent="0.3">
      <c r="A18" s="4">
        <f>IF(timeseries!A18&lt;&gt;"",timeseries!A18,"")</f>
        <v>45383.666666666664</v>
      </c>
    </row>
    <row r="19" spans="1:1" x14ac:dyDescent="0.3">
      <c r="A19" s="4">
        <f>IF(timeseries!A19&lt;&gt;"",timeseries!A19,"")</f>
        <v>45383.708333333336</v>
      </c>
    </row>
    <row r="20" spans="1:1" x14ac:dyDescent="0.3">
      <c r="A20" s="4">
        <f>IF(timeseries!A20&lt;&gt;"",timeseries!A20,"")</f>
        <v>45383.75</v>
      </c>
    </row>
    <row r="21" spans="1:1" x14ac:dyDescent="0.3">
      <c r="A21" s="4">
        <f>IF(timeseries!A21&lt;&gt;"",timeseries!A21,"")</f>
        <v>45383.791666666664</v>
      </c>
    </row>
    <row r="22" spans="1:1" x14ac:dyDescent="0.3">
      <c r="A22" s="4">
        <f>IF(timeseries!A22&lt;&gt;"",timeseries!A22,"")</f>
        <v>45383.833333333336</v>
      </c>
    </row>
    <row r="23" spans="1:1" x14ac:dyDescent="0.3">
      <c r="A23" s="4">
        <f>IF(timeseries!A23&lt;&gt;"",timeseries!A23,"")</f>
        <v>45383.875</v>
      </c>
    </row>
    <row r="24" spans="1:1" x14ac:dyDescent="0.3">
      <c r="A24" s="4">
        <f>IF(timeseries!A24&lt;&gt;"",timeseries!A24,"")</f>
        <v>45383.916666666664</v>
      </c>
    </row>
    <row r="25" spans="1:1" x14ac:dyDescent="0.3">
      <c r="A25" s="4">
        <f>IF(timeseries!A25&lt;&gt;"",timeseries!A25,"")</f>
        <v>45383.958333333336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G25"/>
  <sheetViews>
    <sheetView topLeftCell="A2" workbookViewId="0">
      <selection activeCell="B26" sqref="B26"/>
    </sheetView>
  </sheetViews>
  <sheetFormatPr defaultRowHeight="14.4" x14ac:dyDescent="0.3"/>
  <cols>
    <col min="1" max="1" width="14.33203125" bestFit="1" customWidth="1"/>
    <col min="2" max="4" width="10.33203125" customWidth="1"/>
    <col min="5" max="7" width="11.6640625" customWidth="1"/>
  </cols>
  <sheetData>
    <row r="1" spans="1:7" x14ac:dyDescent="0.3">
      <c r="A1" s="2" t="s">
        <v>30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</row>
    <row r="2" spans="1:7" x14ac:dyDescent="0.3">
      <c r="A2" s="4">
        <f>IF(timeseries!A2&lt;&gt;"",timeseries!A2,"")</f>
        <v>45383</v>
      </c>
      <c r="B2">
        <f>1.1*market_prices!B2</f>
        <v>52.800000000000004</v>
      </c>
      <c r="C2">
        <f>1.1*market_prices!F2</f>
        <v>79.2</v>
      </c>
      <c r="D2">
        <f>1.1*market_prices!J2</f>
        <v>26.400000000000002</v>
      </c>
      <c r="E2">
        <f>0.9*market_prices!B2</f>
        <v>43.2</v>
      </c>
      <c r="F2">
        <f>0.9*market_prices!F2</f>
        <v>64.8</v>
      </c>
      <c r="G2">
        <f>0.9*market_prices!J2</f>
        <v>21.6</v>
      </c>
    </row>
    <row r="3" spans="1:7" x14ac:dyDescent="0.3">
      <c r="A3" s="4">
        <f>IF(timeseries!A3&lt;&gt;"",timeseries!A3,"")</f>
        <v>45383.041666666664</v>
      </c>
      <c r="B3">
        <f>1.1*market_prices!B3</f>
        <v>66</v>
      </c>
      <c r="C3">
        <f>1.1*market_prices!F3</f>
        <v>99.000000000000014</v>
      </c>
      <c r="D3">
        <f>1.1*market_prices!J3</f>
        <v>33</v>
      </c>
      <c r="E3">
        <f>0.9*market_prices!B3</f>
        <v>54</v>
      </c>
      <c r="F3">
        <f>0.9*market_prices!F3</f>
        <v>81</v>
      </c>
      <c r="G3">
        <f>0.9*market_prices!J3</f>
        <v>27</v>
      </c>
    </row>
    <row r="4" spans="1:7" x14ac:dyDescent="0.3">
      <c r="A4" s="4">
        <f>IF(timeseries!A4&lt;&gt;"",timeseries!A4,"")</f>
        <v>45383.083333333336</v>
      </c>
      <c r="B4">
        <f>1.1*market_prices!B4</f>
        <v>63.800000000000004</v>
      </c>
      <c r="C4">
        <f>1.1*market_prices!F4</f>
        <v>95.7</v>
      </c>
      <c r="D4">
        <f>1.1*market_prices!J4</f>
        <v>31.900000000000002</v>
      </c>
      <c r="E4">
        <f>0.9*market_prices!B4</f>
        <v>52.2</v>
      </c>
      <c r="F4">
        <f>0.9*market_prices!F4</f>
        <v>78.3</v>
      </c>
      <c r="G4">
        <f>0.9*market_prices!J4</f>
        <v>26.1</v>
      </c>
    </row>
    <row r="5" spans="1:7" x14ac:dyDescent="0.3">
      <c r="A5" s="4">
        <f>IF(timeseries!A5&lt;&gt;"",timeseries!A5,"")</f>
        <v>45383.125</v>
      </c>
      <c r="B5">
        <f>1.1*market_prices!B5</f>
        <v>56.1</v>
      </c>
      <c r="C5">
        <f>1.1*market_prices!F5</f>
        <v>84.15</v>
      </c>
      <c r="D5">
        <f>1.1*market_prices!J5</f>
        <v>28.05</v>
      </c>
      <c r="E5">
        <f>0.9*market_prices!B5</f>
        <v>45.9</v>
      </c>
      <c r="F5">
        <f>0.9*market_prices!F5</f>
        <v>68.850000000000009</v>
      </c>
      <c r="G5">
        <f>0.9*market_prices!J5</f>
        <v>22.95</v>
      </c>
    </row>
    <row r="6" spans="1:7" x14ac:dyDescent="0.3">
      <c r="A6" s="4">
        <f>IF(timeseries!A6&lt;&gt;"",timeseries!A6,"")</f>
        <v>45383.166666666664</v>
      </c>
      <c r="B6">
        <f>1.1*market_prices!B6</f>
        <v>40.700000000000003</v>
      </c>
      <c r="C6">
        <f>1.1*market_prices!F6</f>
        <v>61.050000000000004</v>
      </c>
      <c r="D6">
        <f>1.1*market_prices!J6</f>
        <v>20.350000000000001</v>
      </c>
      <c r="E6">
        <f>0.9*market_prices!B6</f>
        <v>33.300000000000004</v>
      </c>
      <c r="F6">
        <f>0.9*market_prices!F6</f>
        <v>49.95</v>
      </c>
      <c r="G6">
        <f>0.9*market_prices!J6</f>
        <v>16.650000000000002</v>
      </c>
    </row>
    <row r="7" spans="1:7" x14ac:dyDescent="0.3">
      <c r="A7" s="4">
        <f>IF(timeseries!A7&lt;&gt;"",timeseries!A7,"")</f>
        <v>45383.208333333336</v>
      </c>
      <c r="B7">
        <f>1.1*market_prices!B7</f>
        <v>37.400000000000006</v>
      </c>
      <c r="C7">
        <f>1.1*market_prices!F7</f>
        <v>56.1</v>
      </c>
      <c r="D7">
        <f>1.1*market_prices!J7</f>
        <v>18.700000000000003</v>
      </c>
      <c r="E7">
        <f>0.9*market_prices!B7</f>
        <v>30.6</v>
      </c>
      <c r="F7">
        <f>0.9*market_prices!F7</f>
        <v>45.9</v>
      </c>
      <c r="G7">
        <f>0.9*market_prices!J7</f>
        <v>15.3</v>
      </c>
    </row>
    <row r="8" spans="1:7" x14ac:dyDescent="0.3">
      <c r="A8" s="4">
        <f>IF(timeseries!A8&lt;&gt;"",timeseries!A8,"")</f>
        <v>45383.25</v>
      </c>
      <c r="B8">
        <f>1.1*market_prices!B8</f>
        <v>49.500000000000007</v>
      </c>
      <c r="C8">
        <f>1.1*market_prices!F8</f>
        <v>74.25</v>
      </c>
      <c r="D8">
        <f>1.1*market_prices!J8</f>
        <v>24.750000000000004</v>
      </c>
      <c r="E8">
        <f>0.9*market_prices!B8</f>
        <v>40.5</v>
      </c>
      <c r="F8">
        <f>0.9*market_prices!F8</f>
        <v>60.75</v>
      </c>
      <c r="G8">
        <f>0.9*market_prices!J8</f>
        <v>20.25</v>
      </c>
    </row>
    <row r="9" spans="1:7" x14ac:dyDescent="0.3">
      <c r="A9" s="4">
        <f>IF(timeseries!A9&lt;&gt;"",timeseries!A9,"")</f>
        <v>45383.291666666664</v>
      </c>
      <c r="B9">
        <f>1.1*market_prices!B9</f>
        <v>45.1</v>
      </c>
      <c r="C9">
        <f>1.1*market_prices!F9</f>
        <v>67.650000000000006</v>
      </c>
      <c r="D9">
        <f>1.1*market_prices!J9</f>
        <v>22.55</v>
      </c>
      <c r="E9">
        <f>0.9*market_prices!B9</f>
        <v>36.9</v>
      </c>
      <c r="F9">
        <f>0.9*market_prices!F9</f>
        <v>55.35</v>
      </c>
      <c r="G9">
        <f>0.9*market_prices!J9</f>
        <v>18.45</v>
      </c>
    </row>
    <row r="10" spans="1:7" x14ac:dyDescent="0.3">
      <c r="A10" s="4">
        <f>IF(timeseries!A10&lt;&gt;"",timeseries!A10,"")</f>
        <v>45383.333333333336</v>
      </c>
      <c r="B10">
        <f>1.1*market_prices!B10</f>
        <v>60.500000000000007</v>
      </c>
      <c r="C10">
        <f>1.1*market_prices!F10</f>
        <v>90.750000000000014</v>
      </c>
      <c r="D10">
        <f>1.1*market_prices!J10</f>
        <v>30.250000000000004</v>
      </c>
      <c r="E10">
        <f>0.9*market_prices!B10</f>
        <v>49.5</v>
      </c>
      <c r="F10">
        <f>0.9*market_prices!F10</f>
        <v>74.25</v>
      </c>
      <c r="G10">
        <f>0.9*market_prices!J10</f>
        <v>24.75</v>
      </c>
    </row>
    <row r="11" spans="1:7" x14ac:dyDescent="0.3">
      <c r="A11" s="4">
        <f>IF(timeseries!A11&lt;&gt;"",timeseries!A11,"")</f>
        <v>45383.375</v>
      </c>
      <c r="B11">
        <f>1.1*market_prices!B11</f>
        <v>64.900000000000006</v>
      </c>
      <c r="C11">
        <f>1.1*market_prices!F11</f>
        <v>97.350000000000009</v>
      </c>
      <c r="D11">
        <f>1.1*market_prices!J11</f>
        <v>32.450000000000003</v>
      </c>
      <c r="E11">
        <f>0.9*market_prices!B11</f>
        <v>53.1</v>
      </c>
      <c r="F11">
        <f>0.9*market_prices!F11</f>
        <v>79.650000000000006</v>
      </c>
      <c r="G11">
        <f>0.9*market_prices!J11</f>
        <v>26.55</v>
      </c>
    </row>
    <row r="12" spans="1:7" x14ac:dyDescent="0.3">
      <c r="A12" s="4">
        <f>IF(timeseries!A12&lt;&gt;"",timeseries!A12,"")</f>
        <v>45383.416666666664</v>
      </c>
      <c r="B12">
        <f>1.1*market_prices!B12</f>
        <v>66</v>
      </c>
      <c r="C12">
        <f>1.1*market_prices!F12</f>
        <v>99.000000000000014</v>
      </c>
      <c r="D12">
        <f>1.1*market_prices!J12</f>
        <v>33</v>
      </c>
      <c r="E12">
        <f>0.9*market_prices!B12</f>
        <v>54</v>
      </c>
      <c r="F12">
        <f>0.9*market_prices!F12</f>
        <v>81</v>
      </c>
      <c r="G12">
        <f>0.9*market_prices!J12</f>
        <v>27</v>
      </c>
    </row>
    <row r="13" spans="1:7" x14ac:dyDescent="0.3">
      <c r="A13" s="4">
        <f>IF(timeseries!A13&lt;&gt;"",timeseries!A13,"")</f>
        <v>45383.458333333336</v>
      </c>
      <c r="B13">
        <f>1.1*market_prices!B13</f>
        <v>45.1</v>
      </c>
      <c r="C13">
        <f>1.1*market_prices!F13</f>
        <v>67.650000000000006</v>
      </c>
      <c r="D13">
        <f>1.1*market_prices!J13</f>
        <v>22.55</v>
      </c>
      <c r="E13">
        <f>0.9*market_prices!B13</f>
        <v>36.9</v>
      </c>
      <c r="F13">
        <f>0.9*market_prices!F13</f>
        <v>55.35</v>
      </c>
      <c r="G13">
        <f>0.9*market_prices!J13</f>
        <v>18.45</v>
      </c>
    </row>
    <row r="14" spans="1:7" x14ac:dyDescent="0.3">
      <c r="A14" s="4">
        <f>IF(timeseries!A14&lt;&gt;"",timeseries!A14,"")</f>
        <v>45383.5</v>
      </c>
      <c r="B14">
        <f>1.1*market_prices!B14</f>
        <v>50.6</v>
      </c>
      <c r="C14">
        <f>1.1*market_prices!F14</f>
        <v>75.900000000000006</v>
      </c>
      <c r="D14">
        <f>1.1*market_prices!J14</f>
        <v>25.3</v>
      </c>
      <c r="E14">
        <f>0.9*market_prices!B14</f>
        <v>41.4</v>
      </c>
      <c r="F14">
        <f>0.9*market_prices!F14</f>
        <v>62.1</v>
      </c>
      <c r="G14">
        <f>0.9*market_prices!J14</f>
        <v>20.7</v>
      </c>
    </row>
    <row r="15" spans="1:7" x14ac:dyDescent="0.3">
      <c r="A15" s="4">
        <f>IF(timeseries!A15&lt;&gt;"",timeseries!A15,"")</f>
        <v>45383.541666666664</v>
      </c>
      <c r="B15">
        <f>1.1*market_prices!B15</f>
        <v>41.800000000000004</v>
      </c>
      <c r="C15">
        <f>1.1*market_prices!F15</f>
        <v>62.7</v>
      </c>
      <c r="D15">
        <f>1.1*market_prices!J15</f>
        <v>20.900000000000002</v>
      </c>
      <c r="E15">
        <f>0.9*market_prices!B15</f>
        <v>34.200000000000003</v>
      </c>
      <c r="F15">
        <f>0.9*market_prices!F15</f>
        <v>51.300000000000004</v>
      </c>
      <c r="G15">
        <f>0.9*market_prices!J15</f>
        <v>17.100000000000001</v>
      </c>
    </row>
    <row r="16" spans="1:7" x14ac:dyDescent="0.3">
      <c r="A16" s="4">
        <f>IF(timeseries!A16&lt;&gt;"",timeseries!A16,"")</f>
        <v>45383.583333333336</v>
      </c>
      <c r="B16">
        <f>1.1*market_prices!B16</f>
        <v>50.6</v>
      </c>
      <c r="C16">
        <f>1.1*market_prices!F16</f>
        <v>75.900000000000006</v>
      </c>
      <c r="D16">
        <f>1.1*market_prices!J16</f>
        <v>25.3</v>
      </c>
      <c r="E16">
        <f>0.9*market_prices!B16</f>
        <v>41.4</v>
      </c>
      <c r="F16">
        <f>0.9*market_prices!F16</f>
        <v>62.1</v>
      </c>
      <c r="G16">
        <f>0.9*market_prices!J16</f>
        <v>20.7</v>
      </c>
    </row>
    <row r="17" spans="1:7" x14ac:dyDescent="0.3">
      <c r="A17" s="4">
        <f>IF(timeseries!A17&lt;&gt;"",timeseries!A17,"")</f>
        <v>45383.625</v>
      </c>
      <c r="B17">
        <f>1.1*market_prices!B17</f>
        <v>49.500000000000007</v>
      </c>
      <c r="C17">
        <f>1.1*market_prices!F17</f>
        <v>74.25</v>
      </c>
      <c r="D17">
        <f>1.1*market_prices!J17</f>
        <v>24.750000000000004</v>
      </c>
      <c r="E17">
        <f>0.9*market_prices!B17</f>
        <v>40.5</v>
      </c>
      <c r="F17">
        <f>0.9*market_prices!F17</f>
        <v>60.75</v>
      </c>
      <c r="G17">
        <f>0.9*market_prices!J17</f>
        <v>20.25</v>
      </c>
    </row>
    <row r="18" spans="1:7" x14ac:dyDescent="0.3">
      <c r="A18" s="4">
        <f>IF(timeseries!A18&lt;&gt;"",timeseries!A18,"")</f>
        <v>45383.666666666664</v>
      </c>
      <c r="B18">
        <f>1.1*market_prices!B18</f>
        <v>45.1</v>
      </c>
      <c r="C18">
        <f>1.1*market_prices!F18</f>
        <v>67.650000000000006</v>
      </c>
      <c r="D18">
        <f>1.1*market_prices!J18</f>
        <v>22.55</v>
      </c>
      <c r="E18">
        <f>0.9*market_prices!B18</f>
        <v>36.9</v>
      </c>
      <c r="F18">
        <f>0.9*market_prices!F18</f>
        <v>55.35</v>
      </c>
      <c r="G18">
        <f>0.9*market_prices!J18</f>
        <v>18.45</v>
      </c>
    </row>
    <row r="19" spans="1:7" x14ac:dyDescent="0.3">
      <c r="A19" s="4">
        <f>IF(timeseries!A19&lt;&gt;"",timeseries!A19,"")</f>
        <v>45383.708333333336</v>
      </c>
      <c r="B19">
        <f>1.1*market_prices!B19</f>
        <v>50.6</v>
      </c>
      <c r="C19">
        <f>1.1*market_prices!F19</f>
        <v>75.900000000000006</v>
      </c>
      <c r="D19">
        <f>1.1*market_prices!J19</f>
        <v>25.3</v>
      </c>
      <c r="E19">
        <f>0.9*market_prices!B19</f>
        <v>41.4</v>
      </c>
      <c r="F19">
        <f>0.9*market_prices!F19</f>
        <v>62.1</v>
      </c>
      <c r="G19">
        <f>0.9*market_prices!J19</f>
        <v>20.7</v>
      </c>
    </row>
    <row r="20" spans="1:7" x14ac:dyDescent="0.3">
      <c r="A20" s="4">
        <f>IF(timeseries!A20&lt;&gt;"",timeseries!A20,"")</f>
        <v>45383.75</v>
      </c>
      <c r="B20">
        <f>1.1*market_prices!B20</f>
        <v>57.2</v>
      </c>
      <c r="C20">
        <f>1.1*market_prices!F20</f>
        <v>85.800000000000011</v>
      </c>
      <c r="D20">
        <f>1.1*market_prices!J20</f>
        <v>28.6</v>
      </c>
      <c r="E20">
        <f>0.9*market_prices!B20</f>
        <v>46.800000000000004</v>
      </c>
      <c r="F20">
        <f>0.9*market_prices!F20</f>
        <v>70.2</v>
      </c>
      <c r="G20">
        <f>0.9*market_prices!J20</f>
        <v>23.400000000000002</v>
      </c>
    </row>
    <row r="21" spans="1:7" x14ac:dyDescent="0.3">
      <c r="A21" s="4">
        <f>IF(timeseries!A21&lt;&gt;"",timeseries!A21,"")</f>
        <v>45383.791666666664</v>
      </c>
      <c r="B21">
        <f>1.1*market_prices!B21</f>
        <v>61.600000000000009</v>
      </c>
      <c r="C21">
        <f>1.1*market_prices!F21</f>
        <v>92.4</v>
      </c>
      <c r="D21">
        <f>1.1*market_prices!J21</f>
        <v>30.800000000000004</v>
      </c>
      <c r="E21">
        <f>0.9*market_prices!B21</f>
        <v>50.4</v>
      </c>
      <c r="F21">
        <f>0.9*market_prices!F21</f>
        <v>75.600000000000009</v>
      </c>
      <c r="G21">
        <f>0.9*market_prices!J21</f>
        <v>25.2</v>
      </c>
    </row>
    <row r="22" spans="1:7" x14ac:dyDescent="0.3">
      <c r="A22" s="4">
        <f>IF(timeseries!A22&lt;&gt;"",timeseries!A22,"")</f>
        <v>45383.833333333336</v>
      </c>
      <c r="B22">
        <f>1.1*market_prices!B22</f>
        <v>36.300000000000004</v>
      </c>
      <c r="C22">
        <f>1.1*market_prices!F22</f>
        <v>54.45</v>
      </c>
      <c r="D22">
        <f>1.1*market_prices!J22</f>
        <v>18.150000000000002</v>
      </c>
      <c r="E22">
        <f>0.9*market_prices!B22</f>
        <v>29.7</v>
      </c>
      <c r="F22">
        <f>0.9*market_prices!F22</f>
        <v>44.550000000000004</v>
      </c>
      <c r="G22">
        <f>0.9*market_prices!J22</f>
        <v>14.85</v>
      </c>
    </row>
    <row r="23" spans="1:7" x14ac:dyDescent="0.3">
      <c r="A23" s="4">
        <f>IF(timeseries!A23&lt;&gt;"",timeseries!A23,"")</f>
        <v>45383.875</v>
      </c>
      <c r="B23">
        <f>1.1*market_prices!B23</f>
        <v>47.300000000000004</v>
      </c>
      <c r="C23">
        <f>1.1*market_prices!F23</f>
        <v>70.95</v>
      </c>
      <c r="D23">
        <f>1.1*market_prices!J23</f>
        <v>23.650000000000002</v>
      </c>
      <c r="E23">
        <f>0.9*market_prices!B23</f>
        <v>38.700000000000003</v>
      </c>
      <c r="F23">
        <f>0.9*market_prices!F23</f>
        <v>58.050000000000004</v>
      </c>
      <c r="G23">
        <f>0.9*market_prices!J23</f>
        <v>19.350000000000001</v>
      </c>
    </row>
    <row r="24" spans="1:7" x14ac:dyDescent="0.3">
      <c r="A24" s="4">
        <f>IF(timeseries!A24&lt;&gt;"",timeseries!A24,"")</f>
        <v>45383.916666666664</v>
      </c>
      <c r="B24">
        <f>1.1*market_prices!B24</f>
        <v>62.7</v>
      </c>
      <c r="C24">
        <f>1.1*market_prices!F24</f>
        <v>94.050000000000011</v>
      </c>
      <c r="D24">
        <f>1.1*market_prices!J24</f>
        <v>31.35</v>
      </c>
      <c r="E24">
        <f>0.9*market_prices!B24</f>
        <v>51.300000000000004</v>
      </c>
      <c r="F24">
        <f>0.9*market_prices!F24</f>
        <v>76.95</v>
      </c>
      <c r="G24">
        <f>0.9*market_prices!J24</f>
        <v>25.650000000000002</v>
      </c>
    </row>
    <row r="25" spans="1:7" x14ac:dyDescent="0.3">
      <c r="A25" s="4">
        <f>IF(timeseries!A25&lt;&gt;"",timeseries!A25,"")</f>
        <v>45383.958333333336</v>
      </c>
      <c r="B25">
        <f>1.1*market_prices!B25</f>
        <v>35.200000000000003</v>
      </c>
      <c r="C25">
        <f>1.1*market_prices!F25</f>
        <v>52.800000000000004</v>
      </c>
      <c r="D25">
        <f>1.1*market_prices!J25</f>
        <v>17.600000000000001</v>
      </c>
      <c r="E25">
        <f>0.9*market_prices!B25</f>
        <v>28.8</v>
      </c>
      <c r="F25">
        <f>0.9*market_prices!F25</f>
        <v>43.2</v>
      </c>
      <c r="G25">
        <f>0.9*market_prices!J25</f>
        <v>14.4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9D9D-D715-44F6-9548-799003AAC474}">
  <dimension ref="A1:BA25"/>
  <sheetViews>
    <sheetView topLeftCell="A16" workbookViewId="0">
      <selection activeCell="C26" sqref="C26"/>
    </sheetView>
  </sheetViews>
  <sheetFormatPr defaultRowHeight="14.4" x14ac:dyDescent="0.3"/>
  <cols>
    <col min="1" max="1" width="19.33203125" style="4" customWidth="1"/>
  </cols>
  <sheetData>
    <row r="1" spans="1:53" s="2" customFormat="1" x14ac:dyDescent="0.3">
      <c r="A1" s="2" t="s">
        <v>30</v>
      </c>
      <c r="B1" t="s">
        <v>56</v>
      </c>
      <c r="C1" t="s">
        <v>60</v>
      </c>
      <c r="D1" t="s">
        <v>64</v>
      </c>
      <c r="E1" t="s">
        <v>57</v>
      </c>
      <c r="F1" t="s">
        <v>61</v>
      </c>
      <c r="G1" t="s">
        <v>65</v>
      </c>
      <c r="H1" s="3" t="s">
        <v>58</v>
      </c>
      <c r="I1" s="3" t="s">
        <v>62</v>
      </c>
      <c r="J1" s="3" t="s">
        <v>66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4">
        <f>IF(timeseries!A2&lt;&gt;"",timeseries!A2,"")</f>
        <v>45383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53" x14ac:dyDescent="0.3">
      <c r="A3" s="4">
        <f>IF(timeseries!A3&lt;&gt;"",timeseries!A3,"")</f>
        <v>45383.041666666664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53" x14ac:dyDescent="0.3">
      <c r="A4" s="4">
        <f>IF(timeseries!A4&lt;&gt;"",timeseries!A4,"")</f>
        <v>45383.083333333336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53" x14ac:dyDescent="0.3">
      <c r="A5" s="4">
        <f>IF(timeseries!A5&lt;&gt;"",timeseries!A5,"")</f>
        <v>45383.125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53" x14ac:dyDescent="0.3">
      <c r="A6" s="4">
        <f>IF(timeseries!A6&lt;&gt;"",timeseries!A6,"")</f>
        <v>45383.166666666664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53" x14ac:dyDescent="0.3">
      <c r="A7" s="4">
        <f>IF(timeseries!A7&lt;&gt;"",timeseries!A7,"")</f>
        <v>45383.208333333336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53" x14ac:dyDescent="0.3">
      <c r="A8" s="4">
        <f>IF(timeseries!A8&lt;&gt;"",timeseries!A8,"")</f>
        <v>45383.25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53" x14ac:dyDescent="0.3">
      <c r="A9" s="4">
        <f>IF(timeseries!A9&lt;&gt;"",timeseries!A9,"")</f>
        <v>45383.291666666664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53" x14ac:dyDescent="0.3">
      <c r="A10" s="4">
        <f>IF(timeseries!A10&lt;&gt;"",timeseries!A10,"")</f>
        <v>45383.333333333336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53" x14ac:dyDescent="0.3">
      <c r="A11" s="4">
        <f>IF(timeseries!A11&lt;&gt;"",timeseries!A11,"")</f>
        <v>45383.375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53" x14ac:dyDescent="0.3">
      <c r="A12" s="4">
        <f>IF(timeseries!A12&lt;&gt;"",timeseries!A12,"")</f>
        <v>45383.416666666664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53" x14ac:dyDescent="0.3">
      <c r="A13" s="4">
        <f>IF(timeseries!A13&lt;&gt;"",timeseries!A13,"")</f>
        <v>45383.458333333336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53" x14ac:dyDescent="0.3">
      <c r="A14" s="4">
        <f>IF(timeseries!A14&lt;&gt;"",timeseries!A14,"")</f>
        <v>45383.5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53" x14ac:dyDescent="0.3">
      <c r="A15" s="4">
        <f>IF(timeseries!A15&lt;&gt;"",timeseries!A15,"")</f>
        <v>45383.541666666664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53" x14ac:dyDescent="0.3">
      <c r="A16" s="4">
        <f>IF(timeseries!A16&lt;&gt;"",timeseries!A16,"")</f>
        <v>45383.583333333336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4">
        <f>IF(timeseries!A17&lt;&gt;"",timeseries!A17,"")</f>
        <v>45383.625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s="4">
        <f>IF(timeseries!A18&lt;&gt;"",timeseries!A18,"")</f>
        <v>45383.666666666664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4">
        <f>IF(timeseries!A19&lt;&gt;"",timeseries!A19,"")</f>
        <v>45383.708333333336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s="4">
        <f>IF(timeseries!A20&lt;&gt;"",timeseries!A20,"")</f>
        <v>45383.75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s="4">
        <f>IF(timeseries!A21&lt;&gt;"",timeseries!A21,"")</f>
        <v>45383.791666666664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s="4">
        <f>IF(timeseries!A22&lt;&gt;"",timeseries!A22,"")</f>
        <v>45383.833333333336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s="4">
        <f>IF(timeseries!A23&lt;&gt;"",timeseries!A23,"")</f>
        <v>45383.875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s="4">
        <f>IF(timeseries!A24&lt;&gt;"",timeseries!A24,"")</f>
        <v>45383.916666666664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s="4">
        <f>IF(timeseries!A25&lt;&gt;"",timeseries!A25,"")</f>
        <v>45383.958333333336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G26" sqref="G26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99</v>
      </c>
      <c r="B1" s="2" t="s">
        <v>100</v>
      </c>
    </row>
    <row r="2" spans="1:2" x14ac:dyDescent="0.3">
      <c r="A2" t="s">
        <v>101</v>
      </c>
      <c r="B2">
        <v>0.1</v>
      </c>
    </row>
    <row r="3" spans="1:2" x14ac:dyDescent="0.3">
      <c r="A3" t="s">
        <v>102</v>
      </c>
      <c r="B3">
        <v>0.2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4"/>
  <sheetViews>
    <sheetView workbookViewId="0">
      <selection activeCell="B2" sqref="B2:B4"/>
    </sheetView>
  </sheetViews>
  <sheetFormatPr defaultRowHeight="14.4" x14ac:dyDescent="0.3"/>
  <sheetData>
    <row r="1" spans="1:2" s="2" customFormat="1" x14ac:dyDescent="0.3">
      <c r="A1" s="2" t="s">
        <v>44</v>
      </c>
      <c r="B1" s="2" t="s">
        <v>45</v>
      </c>
    </row>
    <row r="2" spans="1:2" x14ac:dyDescent="0.3">
      <c r="A2" t="s">
        <v>46</v>
      </c>
      <c r="B2">
        <v>0.3</v>
      </c>
    </row>
    <row r="3" spans="1:2" x14ac:dyDescent="0.3">
      <c r="A3" t="s">
        <v>47</v>
      </c>
      <c r="B3">
        <v>0.5</v>
      </c>
    </row>
    <row r="4" spans="1:2" x14ac:dyDescent="0.3">
      <c r="A4" t="s">
        <v>48</v>
      </c>
      <c r="B4">
        <v>0.2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4" customWidth="1"/>
  </cols>
  <sheetData>
    <row r="1" spans="1:1" s="2" customFormat="1" x14ac:dyDescent="0.3">
      <c r="A1" s="2" t="s">
        <v>30</v>
      </c>
    </row>
    <row r="2" spans="1:1" x14ac:dyDescent="0.3">
      <c r="A2" s="4">
        <f>IF(timeseries!A2&lt;&gt;"",timeseries!A2,"")</f>
        <v>45383</v>
      </c>
    </row>
    <row r="3" spans="1:1" x14ac:dyDescent="0.3">
      <c r="A3" s="4">
        <f>IF(timeseries!A3&lt;&gt;"",timeseries!A3,"")</f>
        <v>45383.041666666664</v>
      </c>
    </row>
    <row r="4" spans="1:1" x14ac:dyDescent="0.3">
      <c r="A4" s="4">
        <f>IF(timeseries!A4&lt;&gt;"",timeseries!A4,"")</f>
        <v>45383.083333333336</v>
      </c>
    </row>
    <row r="5" spans="1:1" x14ac:dyDescent="0.3">
      <c r="A5" s="4">
        <f>IF(timeseries!A5&lt;&gt;"",timeseries!A5,"")</f>
        <v>45383.125</v>
      </c>
    </row>
    <row r="6" spans="1:1" x14ac:dyDescent="0.3">
      <c r="A6" s="4">
        <f>IF(timeseries!A6&lt;&gt;"",timeseries!A6,"")</f>
        <v>45383.166666666664</v>
      </c>
    </row>
    <row r="7" spans="1:1" x14ac:dyDescent="0.3">
      <c r="A7" s="4">
        <f>IF(timeseries!A7&lt;&gt;"",timeseries!A7,"")</f>
        <v>45383.208333333336</v>
      </c>
    </row>
    <row r="8" spans="1:1" x14ac:dyDescent="0.3">
      <c r="A8" s="4">
        <f>IF(timeseries!A8&lt;&gt;"",timeseries!A8,"")</f>
        <v>45383.25</v>
      </c>
    </row>
    <row r="9" spans="1:1" x14ac:dyDescent="0.3">
      <c r="A9" s="4">
        <f>IF(timeseries!A9&lt;&gt;"",timeseries!A9,"")</f>
        <v>45383.291666666664</v>
      </c>
    </row>
    <row r="10" spans="1:1" x14ac:dyDescent="0.3">
      <c r="A10" s="4">
        <f>IF(timeseries!A10&lt;&gt;"",timeseries!A10,"")</f>
        <v>45383.333333333336</v>
      </c>
    </row>
    <row r="11" spans="1:1" x14ac:dyDescent="0.3">
      <c r="A11" s="4">
        <f>IF(timeseries!A11&lt;&gt;"",timeseries!A11,"")</f>
        <v>45383.375</v>
      </c>
    </row>
    <row r="12" spans="1:1" x14ac:dyDescent="0.3">
      <c r="A12" s="4">
        <f>IF(timeseries!A12&lt;&gt;"",timeseries!A12,"")</f>
        <v>45383.416666666664</v>
      </c>
    </row>
    <row r="13" spans="1:1" x14ac:dyDescent="0.3">
      <c r="A13" s="4">
        <f>IF(timeseries!A13&lt;&gt;"",timeseries!A13,"")</f>
        <v>45383.458333333336</v>
      </c>
    </row>
    <row r="14" spans="1:1" x14ac:dyDescent="0.3">
      <c r="A14" s="4">
        <f>IF(timeseries!A14&lt;&gt;"",timeseries!A14,"")</f>
        <v>45383.5</v>
      </c>
    </row>
    <row r="15" spans="1:1" x14ac:dyDescent="0.3">
      <c r="A15" s="4">
        <f>IF(timeseries!A15&lt;&gt;"",timeseries!A15,"")</f>
        <v>45383.541666666664</v>
      </c>
    </row>
    <row r="16" spans="1:1" x14ac:dyDescent="0.3">
      <c r="A16" s="4">
        <f>IF(timeseries!A16&lt;&gt;"",timeseries!A16,"")</f>
        <v>45383.583333333336</v>
      </c>
    </row>
    <row r="17" spans="1:1" x14ac:dyDescent="0.3">
      <c r="A17" s="4">
        <f>IF(timeseries!A17&lt;&gt;"",timeseries!A17,"")</f>
        <v>45383.625</v>
      </c>
    </row>
    <row r="18" spans="1:1" x14ac:dyDescent="0.3">
      <c r="A18" s="4">
        <f>IF(timeseries!A18&lt;&gt;"",timeseries!A18,"")</f>
        <v>45383.666666666664</v>
      </c>
    </row>
    <row r="19" spans="1:1" x14ac:dyDescent="0.3">
      <c r="A19" s="4">
        <f>IF(timeseries!A19&lt;&gt;"",timeseries!A19,"")</f>
        <v>45383.708333333336</v>
      </c>
    </row>
    <row r="20" spans="1:1" x14ac:dyDescent="0.3">
      <c r="A20" s="4">
        <f>IF(timeseries!A20&lt;&gt;"",timeseries!A20,"")</f>
        <v>45383.75</v>
      </c>
    </row>
    <row r="21" spans="1:1" x14ac:dyDescent="0.3">
      <c r="A21" s="4">
        <f>IF(timeseries!A21&lt;&gt;"",timeseries!A21,"")</f>
        <v>45383.791666666664</v>
      </c>
    </row>
    <row r="22" spans="1:1" x14ac:dyDescent="0.3">
      <c r="A22" s="4">
        <f>IF(timeseries!A22&lt;&gt;"",timeseries!A22,"")</f>
        <v>45383.833333333336</v>
      </c>
    </row>
    <row r="23" spans="1:1" x14ac:dyDescent="0.3">
      <c r="A23" s="4">
        <f>IF(timeseries!A23&lt;&gt;"",timeseries!A23,"")</f>
        <v>45383.875</v>
      </c>
    </row>
    <row r="24" spans="1:1" x14ac:dyDescent="0.3">
      <c r="A24" s="4">
        <f>IF(timeseries!A24&lt;&gt;"",timeseries!A24,"")</f>
        <v>45383.916666666664</v>
      </c>
    </row>
    <row r="25" spans="1:1" x14ac:dyDescent="0.3">
      <c r="A25" s="4">
        <f>IF(timeseries!A25&lt;&gt;"",timeseries!A25,"")</f>
        <v>45383.958333333336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D25"/>
  <sheetViews>
    <sheetView workbookViewId="0">
      <selection activeCell="G25" sqref="G25"/>
    </sheetView>
  </sheetViews>
  <sheetFormatPr defaultRowHeight="14.4" x14ac:dyDescent="0.3"/>
  <cols>
    <col min="1" max="1" width="19.33203125" style="4" customWidth="1"/>
  </cols>
  <sheetData>
    <row r="1" spans="1:4" s="2" customFormat="1" x14ac:dyDescent="0.3">
      <c r="A1" s="2" t="s">
        <v>30</v>
      </c>
      <c r="B1" s="2" t="s">
        <v>147</v>
      </c>
      <c r="C1" s="2" t="s">
        <v>148</v>
      </c>
      <c r="D1" s="2" t="s">
        <v>149</v>
      </c>
    </row>
    <row r="2" spans="1:4" x14ac:dyDescent="0.3">
      <c r="A2" s="4">
        <f>IF(timeseries!A2&lt;&gt;"",timeseries!A2,"")</f>
        <v>45383</v>
      </c>
      <c r="B2">
        <v>3</v>
      </c>
      <c r="C2">
        <v>3</v>
      </c>
      <c r="D2">
        <v>3</v>
      </c>
    </row>
    <row r="3" spans="1:4" x14ac:dyDescent="0.3">
      <c r="A3" s="4">
        <f>IF(timeseries!A3&lt;&gt;"",timeseries!A3,"")</f>
        <v>45383.041666666664</v>
      </c>
      <c r="B3">
        <v>3.5</v>
      </c>
      <c r="C3">
        <v>3.5</v>
      </c>
      <c r="D3">
        <v>3.5</v>
      </c>
    </row>
    <row r="4" spans="1:4" x14ac:dyDescent="0.3">
      <c r="A4" s="4">
        <f>IF(timeseries!A4&lt;&gt;"",timeseries!A4,"")</f>
        <v>45383.083333333336</v>
      </c>
      <c r="B4">
        <v>3.5</v>
      </c>
      <c r="C4">
        <v>3.5</v>
      </c>
      <c r="D4">
        <v>3.5</v>
      </c>
    </row>
    <row r="5" spans="1:4" x14ac:dyDescent="0.3">
      <c r="A5" s="4">
        <f>IF(timeseries!A5&lt;&gt;"",timeseries!A5,"")</f>
        <v>45383.125</v>
      </c>
      <c r="B5">
        <v>3.4</v>
      </c>
      <c r="C5">
        <v>3.4</v>
      </c>
      <c r="D5">
        <v>3.4</v>
      </c>
    </row>
    <row r="6" spans="1:4" x14ac:dyDescent="0.3">
      <c r="A6" s="4">
        <f>IF(timeseries!A6&lt;&gt;"",timeseries!A6,"")</f>
        <v>45383.166666666664</v>
      </c>
      <c r="B6">
        <v>3.3</v>
      </c>
      <c r="C6">
        <v>3.3</v>
      </c>
      <c r="D6">
        <v>3.3</v>
      </c>
    </row>
    <row r="7" spans="1:4" x14ac:dyDescent="0.3">
      <c r="A7" s="4">
        <f>IF(timeseries!A7&lt;&gt;"",timeseries!A7,"")</f>
        <v>45383.208333333336</v>
      </c>
      <c r="B7">
        <v>3.2</v>
      </c>
      <c r="C7">
        <v>3.2</v>
      </c>
      <c r="D7">
        <v>3.2</v>
      </c>
    </row>
    <row r="8" spans="1:4" x14ac:dyDescent="0.3">
      <c r="A8" s="4">
        <f>IF(timeseries!A8&lt;&gt;"",timeseries!A8,"")</f>
        <v>45383.25</v>
      </c>
      <c r="B8">
        <v>3.1</v>
      </c>
      <c r="C8">
        <v>3.1</v>
      </c>
      <c r="D8">
        <v>3.1</v>
      </c>
    </row>
    <row r="9" spans="1:4" x14ac:dyDescent="0.3">
      <c r="A9" s="4">
        <f>IF(timeseries!A9&lt;&gt;"",timeseries!A9,"")</f>
        <v>45383.291666666664</v>
      </c>
      <c r="B9">
        <v>3</v>
      </c>
      <c r="C9">
        <v>3</v>
      </c>
      <c r="D9">
        <v>3</v>
      </c>
    </row>
    <row r="10" spans="1:4" x14ac:dyDescent="0.3">
      <c r="A10" s="4">
        <f>IF(timeseries!A10&lt;&gt;"",timeseries!A10,"")</f>
        <v>45383.333333333336</v>
      </c>
      <c r="B10">
        <v>2.5</v>
      </c>
      <c r="C10">
        <v>2.5</v>
      </c>
      <c r="D10">
        <v>2.5</v>
      </c>
    </row>
    <row r="11" spans="1:4" x14ac:dyDescent="0.3">
      <c r="A11" s="4">
        <f>IF(timeseries!A11&lt;&gt;"",timeseries!A11,"")</f>
        <v>45383.375</v>
      </c>
      <c r="B11">
        <v>2.5</v>
      </c>
      <c r="C11">
        <v>2.5</v>
      </c>
      <c r="D11">
        <v>2.5</v>
      </c>
    </row>
    <row r="12" spans="1:4" x14ac:dyDescent="0.3">
      <c r="A12" s="4">
        <f>IF(timeseries!A12&lt;&gt;"",timeseries!A12,"")</f>
        <v>45383.416666666664</v>
      </c>
      <c r="B12">
        <v>2.5</v>
      </c>
      <c r="C12">
        <v>2.5</v>
      </c>
      <c r="D12">
        <v>2.5</v>
      </c>
    </row>
    <row r="13" spans="1:4" x14ac:dyDescent="0.3">
      <c r="A13" s="4">
        <f>IF(timeseries!A13&lt;&gt;"",timeseries!A13,"")</f>
        <v>45383.458333333336</v>
      </c>
      <c r="B13">
        <v>2.5</v>
      </c>
      <c r="C13">
        <v>2.5</v>
      </c>
      <c r="D13">
        <v>2.5</v>
      </c>
    </row>
    <row r="14" spans="1:4" x14ac:dyDescent="0.3">
      <c r="A14" s="4">
        <f>IF(timeseries!A14&lt;&gt;"",timeseries!A14,"")</f>
        <v>45383.5</v>
      </c>
      <c r="B14">
        <v>2.5</v>
      </c>
      <c r="C14">
        <v>2.5</v>
      </c>
      <c r="D14">
        <v>2.5</v>
      </c>
    </row>
    <row r="15" spans="1:4" x14ac:dyDescent="0.3">
      <c r="A15" s="4">
        <f>IF(timeseries!A15&lt;&gt;"",timeseries!A15,"")</f>
        <v>45383.541666666664</v>
      </c>
      <c r="B15">
        <v>2.5</v>
      </c>
      <c r="C15">
        <v>2.5</v>
      </c>
      <c r="D15">
        <v>2.5</v>
      </c>
    </row>
    <row r="16" spans="1:4" x14ac:dyDescent="0.3">
      <c r="A16" s="4">
        <f>IF(timeseries!A16&lt;&gt;"",timeseries!A16,"")</f>
        <v>45383.583333333336</v>
      </c>
      <c r="B16">
        <v>2.5</v>
      </c>
      <c r="C16">
        <v>2.5</v>
      </c>
      <c r="D16">
        <v>2.5</v>
      </c>
    </row>
    <row r="17" spans="1:4" x14ac:dyDescent="0.3">
      <c r="A17" s="4">
        <f>IF(timeseries!A17&lt;&gt;"",timeseries!A17,"")</f>
        <v>45383.625</v>
      </c>
      <c r="B17">
        <v>2.5</v>
      </c>
      <c r="C17">
        <v>2.5</v>
      </c>
      <c r="D17">
        <v>2.5</v>
      </c>
    </row>
    <row r="18" spans="1:4" x14ac:dyDescent="0.3">
      <c r="A18" s="4">
        <f>IF(timeseries!A18&lt;&gt;"",timeseries!A18,"")</f>
        <v>45383.666666666664</v>
      </c>
      <c r="B18">
        <v>2.5</v>
      </c>
      <c r="C18">
        <v>2.5</v>
      </c>
      <c r="D18">
        <v>2.5</v>
      </c>
    </row>
    <row r="19" spans="1:4" x14ac:dyDescent="0.3">
      <c r="A19" s="4">
        <f>IF(timeseries!A19&lt;&gt;"",timeseries!A19,"")</f>
        <v>45383.708333333336</v>
      </c>
      <c r="B19">
        <v>4</v>
      </c>
      <c r="C19">
        <v>4</v>
      </c>
      <c r="D19">
        <v>4</v>
      </c>
    </row>
    <row r="20" spans="1:4" x14ac:dyDescent="0.3">
      <c r="A20" s="4">
        <f>IF(timeseries!A20&lt;&gt;"",timeseries!A20,"")</f>
        <v>45383.75</v>
      </c>
      <c r="B20">
        <v>4</v>
      </c>
      <c r="C20">
        <v>4</v>
      </c>
      <c r="D20">
        <v>4</v>
      </c>
    </row>
    <row r="21" spans="1:4" x14ac:dyDescent="0.3">
      <c r="A21" s="4">
        <f>IF(timeseries!A21&lt;&gt;"",timeseries!A21,"")</f>
        <v>45383.791666666664</v>
      </c>
      <c r="B21">
        <v>4</v>
      </c>
      <c r="C21">
        <v>4</v>
      </c>
      <c r="D21">
        <v>4</v>
      </c>
    </row>
    <row r="22" spans="1:4" x14ac:dyDescent="0.3">
      <c r="A22" s="4">
        <f>IF(timeseries!A22&lt;&gt;"",timeseries!A22,"")</f>
        <v>45383.833333333336</v>
      </c>
      <c r="B22">
        <v>4</v>
      </c>
      <c r="C22">
        <v>4</v>
      </c>
      <c r="D22">
        <v>4</v>
      </c>
    </row>
    <row r="23" spans="1:4" x14ac:dyDescent="0.3">
      <c r="A23" s="4">
        <f>IF(timeseries!A23&lt;&gt;"",timeseries!A23,"")</f>
        <v>45383.875</v>
      </c>
      <c r="B23">
        <v>3.5</v>
      </c>
      <c r="C23">
        <v>3.5</v>
      </c>
      <c r="D23">
        <v>3.5</v>
      </c>
    </row>
    <row r="24" spans="1:4" x14ac:dyDescent="0.3">
      <c r="A24" s="4">
        <f>IF(timeseries!A24&lt;&gt;"",timeseries!A24,"")</f>
        <v>45383.916666666664</v>
      </c>
      <c r="B24">
        <v>3.5</v>
      </c>
      <c r="C24">
        <v>3.5</v>
      </c>
      <c r="D24">
        <v>3.5</v>
      </c>
    </row>
    <row r="25" spans="1:4" x14ac:dyDescent="0.3">
      <c r="A25" s="4">
        <f>IF(timeseries!A25&lt;&gt;"",timeseries!A25,"")</f>
        <v>45383.958333333336</v>
      </c>
      <c r="B25">
        <v>3.5</v>
      </c>
      <c r="C25">
        <v>3.5</v>
      </c>
      <c r="D25">
        <v>3.5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A7" sqref="A7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44</v>
      </c>
      <c r="B1" t="s">
        <v>105</v>
      </c>
      <c r="C1" t="s">
        <v>123</v>
      </c>
      <c r="D1" t="s">
        <v>124</v>
      </c>
    </row>
    <row r="2" spans="1:13" x14ac:dyDescent="0.3">
      <c r="A2" t="s">
        <v>83</v>
      </c>
      <c r="B2" t="s">
        <v>84</v>
      </c>
      <c r="C2">
        <v>0</v>
      </c>
      <c r="D2">
        <v>0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J25"/>
  <sheetViews>
    <sheetView workbookViewId="0">
      <selection activeCell="E2" sqref="E2"/>
    </sheetView>
  </sheetViews>
  <sheetFormatPr defaultRowHeight="14.4" x14ac:dyDescent="0.3"/>
  <cols>
    <col min="1" max="1" width="19.33203125" style="4" customWidth="1"/>
    <col min="2" max="4" width="14.44140625" bestFit="1" customWidth="1"/>
    <col min="5" max="7" width="14.109375" bestFit="1" customWidth="1"/>
    <col min="8" max="10" width="5.33203125" bestFit="1" customWidth="1"/>
  </cols>
  <sheetData>
    <row r="1" spans="1:10" x14ac:dyDescent="0.3">
      <c r="A1" s="2" t="s">
        <v>30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</row>
    <row r="2" spans="1:10" x14ac:dyDescent="0.3">
      <c r="A2" s="4">
        <f>IF(timeseries!A2&lt;&gt;"",timeseries!A2,"")</f>
        <v>45383</v>
      </c>
      <c r="B2">
        <v>1</v>
      </c>
      <c r="C2">
        <v>1</v>
      </c>
      <c r="D2">
        <v>1</v>
      </c>
      <c r="E2">
        <v>-0.8</v>
      </c>
      <c r="F2">
        <v>-0.8</v>
      </c>
      <c r="G2">
        <v>-0.8</v>
      </c>
      <c r="H2">
        <v>0</v>
      </c>
      <c r="I2">
        <v>0</v>
      </c>
      <c r="J2">
        <v>0</v>
      </c>
    </row>
    <row r="3" spans="1:10" x14ac:dyDescent="0.3">
      <c r="A3" s="4">
        <f>IF(timeseries!A3&lt;&gt;"",timeseries!A3,"")</f>
        <v>45383.041666666664</v>
      </c>
      <c r="B3">
        <v>1</v>
      </c>
      <c r="C3">
        <v>1</v>
      </c>
      <c r="D3">
        <v>1</v>
      </c>
      <c r="E3">
        <v>-0.8</v>
      </c>
      <c r="F3">
        <v>-0.8</v>
      </c>
      <c r="G3">
        <v>-0.8</v>
      </c>
      <c r="H3">
        <v>0</v>
      </c>
      <c r="I3">
        <v>0</v>
      </c>
      <c r="J3">
        <v>0</v>
      </c>
    </row>
    <row r="4" spans="1:10" x14ac:dyDescent="0.3">
      <c r="A4" s="4">
        <f>IF(timeseries!A4&lt;&gt;"",timeseries!A4,"")</f>
        <v>45383.083333333336</v>
      </c>
      <c r="B4">
        <v>1</v>
      </c>
      <c r="C4">
        <v>1</v>
      </c>
      <c r="D4">
        <v>1</v>
      </c>
      <c r="E4">
        <v>-0.8</v>
      </c>
      <c r="F4">
        <v>-0.8</v>
      </c>
      <c r="G4">
        <v>-0.8</v>
      </c>
      <c r="H4">
        <v>0</v>
      </c>
      <c r="I4">
        <v>0</v>
      </c>
      <c r="J4">
        <v>0</v>
      </c>
    </row>
    <row r="5" spans="1:10" x14ac:dyDescent="0.3">
      <c r="A5" s="4">
        <f>IF(timeseries!A5&lt;&gt;"",timeseries!A5,"")</f>
        <v>45383.125</v>
      </c>
      <c r="B5">
        <v>1</v>
      </c>
      <c r="C5">
        <v>1</v>
      </c>
      <c r="D5">
        <v>1</v>
      </c>
      <c r="E5">
        <v>-0.8</v>
      </c>
      <c r="F5">
        <v>-0.8</v>
      </c>
      <c r="G5">
        <v>-0.8</v>
      </c>
      <c r="H5">
        <v>0</v>
      </c>
      <c r="I5">
        <v>0</v>
      </c>
      <c r="J5">
        <v>0</v>
      </c>
    </row>
    <row r="6" spans="1:10" x14ac:dyDescent="0.3">
      <c r="A6" s="4">
        <f>IF(timeseries!A6&lt;&gt;"",timeseries!A6,"")</f>
        <v>45383.166666666664</v>
      </c>
      <c r="B6">
        <v>1</v>
      </c>
      <c r="C6">
        <v>1</v>
      </c>
      <c r="D6">
        <v>1</v>
      </c>
      <c r="E6">
        <v>-0.8</v>
      </c>
      <c r="F6">
        <v>-0.8</v>
      </c>
      <c r="G6">
        <v>-0.8</v>
      </c>
      <c r="H6">
        <v>0</v>
      </c>
      <c r="I6">
        <v>0</v>
      </c>
      <c r="J6">
        <v>0</v>
      </c>
    </row>
    <row r="7" spans="1:10" x14ac:dyDescent="0.3">
      <c r="A7" s="4">
        <f>IF(timeseries!A7&lt;&gt;"",timeseries!A7,"")</f>
        <v>45383.208333333336</v>
      </c>
      <c r="B7">
        <v>1</v>
      </c>
      <c r="C7">
        <v>1</v>
      </c>
      <c r="D7">
        <v>1</v>
      </c>
      <c r="E7">
        <v>-0.8</v>
      </c>
      <c r="F7">
        <v>-0.8</v>
      </c>
      <c r="G7">
        <v>-0.8</v>
      </c>
      <c r="H7">
        <v>0</v>
      </c>
      <c r="I7">
        <v>0</v>
      </c>
      <c r="J7">
        <v>0</v>
      </c>
    </row>
    <row r="8" spans="1:10" x14ac:dyDescent="0.3">
      <c r="A8" s="4">
        <f>IF(timeseries!A8&lt;&gt;"",timeseries!A8,"")</f>
        <v>45383.25</v>
      </c>
      <c r="B8">
        <v>1</v>
      </c>
      <c r="C8">
        <v>1</v>
      </c>
      <c r="D8">
        <v>1</v>
      </c>
      <c r="E8">
        <v>-0.8</v>
      </c>
      <c r="F8">
        <v>-0.8</v>
      </c>
      <c r="G8">
        <v>-0.8</v>
      </c>
      <c r="H8">
        <v>0</v>
      </c>
      <c r="I8">
        <v>0</v>
      </c>
      <c r="J8">
        <v>0</v>
      </c>
    </row>
    <row r="9" spans="1:10" x14ac:dyDescent="0.3">
      <c r="A9" s="4">
        <f>IF(timeseries!A9&lt;&gt;"",timeseries!A9,"")</f>
        <v>45383.291666666664</v>
      </c>
      <c r="B9">
        <v>1</v>
      </c>
      <c r="C9">
        <v>1</v>
      </c>
      <c r="D9">
        <v>1</v>
      </c>
      <c r="E9">
        <v>-0.8</v>
      </c>
      <c r="F9">
        <v>-0.8</v>
      </c>
      <c r="G9">
        <v>-0.8</v>
      </c>
      <c r="H9">
        <v>0</v>
      </c>
      <c r="I9">
        <v>0</v>
      </c>
      <c r="J9">
        <v>0</v>
      </c>
    </row>
    <row r="10" spans="1:10" x14ac:dyDescent="0.3">
      <c r="A10" s="4">
        <f>IF(timeseries!A10&lt;&gt;"",timeseries!A10,"")</f>
        <v>45383.333333333336</v>
      </c>
      <c r="B10">
        <v>1</v>
      </c>
      <c r="C10">
        <v>1</v>
      </c>
      <c r="D10">
        <v>1</v>
      </c>
      <c r="E10">
        <v>-0.8</v>
      </c>
      <c r="F10">
        <v>-0.8</v>
      </c>
      <c r="G10">
        <v>-0.8</v>
      </c>
      <c r="H10">
        <v>0</v>
      </c>
      <c r="I10">
        <v>0</v>
      </c>
      <c r="J10">
        <v>0</v>
      </c>
    </row>
    <row r="11" spans="1:10" x14ac:dyDescent="0.3">
      <c r="A11" s="4">
        <f>IF(timeseries!A11&lt;&gt;"",timeseries!A11,"")</f>
        <v>45383.375</v>
      </c>
      <c r="B11">
        <v>1</v>
      </c>
      <c r="C11">
        <v>1</v>
      </c>
      <c r="D11">
        <v>1</v>
      </c>
      <c r="E11">
        <v>-0.8</v>
      </c>
      <c r="F11">
        <v>-0.8</v>
      </c>
      <c r="G11">
        <v>-0.8</v>
      </c>
      <c r="H11">
        <v>0</v>
      </c>
      <c r="I11">
        <v>0</v>
      </c>
      <c r="J11">
        <v>0</v>
      </c>
    </row>
    <row r="12" spans="1:10" x14ac:dyDescent="0.3">
      <c r="A12" s="4">
        <f>IF(timeseries!A12&lt;&gt;"",timeseries!A12,"")</f>
        <v>45383.416666666664</v>
      </c>
      <c r="B12">
        <v>1</v>
      </c>
      <c r="C12">
        <v>1</v>
      </c>
      <c r="D12">
        <v>1</v>
      </c>
      <c r="E12">
        <v>-0.8</v>
      </c>
      <c r="F12">
        <v>-0.8</v>
      </c>
      <c r="G12">
        <v>-0.8</v>
      </c>
      <c r="H12">
        <v>0</v>
      </c>
      <c r="I12">
        <v>0</v>
      </c>
      <c r="J12">
        <v>0</v>
      </c>
    </row>
    <row r="13" spans="1:10" x14ac:dyDescent="0.3">
      <c r="A13" s="4">
        <f>IF(timeseries!A13&lt;&gt;"",timeseries!A13,"")</f>
        <v>45383.458333333336</v>
      </c>
      <c r="B13">
        <v>1</v>
      </c>
      <c r="C13">
        <v>1</v>
      </c>
      <c r="D13">
        <v>1</v>
      </c>
      <c r="E13">
        <v>-0.8</v>
      </c>
      <c r="F13">
        <v>-0.8</v>
      </c>
      <c r="G13">
        <v>-0.8</v>
      </c>
      <c r="H13">
        <v>0</v>
      </c>
      <c r="I13">
        <v>0</v>
      </c>
      <c r="J13">
        <v>0</v>
      </c>
    </row>
    <row r="14" spans="1:10" x14ac:dyDescent="0.3">
      <c r="A14" s="4">
        <f>IF(timeseries!A14&lt;&gt;"",timeseries!A14,"")</f>
        <v>45383.5</v>
      </c>
      <c r="B14">
        <v>1</v>
      </c>
      <c r="C14">
        <v>1</v>
      </c>
      <c r="D14">
        <v>1</v>
      </c>
      <c r="E14">
        <v>-0.8</v>
      </c>
      <c r="F14">
        <v>-0.8</v>
      </c>
      <c r="G14">
        <v>-0.8</v>
      </c>
      <c r="H14">
        <v>0</v>
      </c>
      <c r="I14">
        <v>0</v>
      </c>
      <c r="J14">
        <v>0</v>
      </c>
    </row>
    <row r="15" spans="1:10" x14ac:dyDescent="0.3">
      <c r="A15" s="4">
        <f>IF(timeseries!A15&lt;&gt;"",timeseries!A15,"")</f>
        <v>45383.541666666664</v>
      </c>
      <c r="B15">
        <v>1</v>
      </c>
      <c r="C15">
        <v>1</v>
      </c>
      <c r="D15">
        <v>1</v>
      </c>
      <c r="E15">
        <v>-0.8</v>
      </c>
      <c r="F15">
        <v>-0.8</v>
      </c>
      <c r="G15">
        <v>-0.8</v>
      </c>
      <c r="H15">
        <v>0</v>
      </c>
      <c r="I15">
        <v>0</v>
      </c>
      <c r="J15">
        <v>0</v>
      </c>
    </row>
    <row r="16" spans="1:10" x14ac:dyDescent="0.3">
      <c r="A16" s="4">
        <f>IF(timeseries!A16&lt;&gt;"",timeseries!A16,"")</f>
        <v>45383.583333333336</v>
      </c>
      <c r="B16">
        <v>1</v>
      </c>
      <c r="C16">
        <v>1</v>
      </c>
      <c r="D16">
        <v>1</v>
      </c>
      <c r="E16">
        <v>-0.8</v>
      </c>
      <c r="F16">
        <v>-0.8</v>
      </c>
      <c r="G16">
        <v>-0.8</v>
      </c>
      <c r="H16">
        <v>0</v>
      </c>
      <c r="I16">
        <v>0</v>
      </c>
      <c r="J16">
        <v>0</v>
      </c>
    </row>
    <row r="17" spans="1:10" x14ac:dyDescent="0.3">
      <c r="A17" s="4">
        <f>IF(timeseries!A17&lt;&gt;"",timeseries!A17,"")</f>
        <v>45383.625</v>
      </c>
      <c r="B17">
        <v>1</v>
      </c>
      <c r="C17">
        <v>1</v>
      </c>
      <c r="D17">
        <v>1</v>
      </c>
      <c r="E17">
        <v>-0.8</v>
      </c>
      <c r="F17">
        <v>-0.8</v>
      </c>
      <c r="G17">
        <v>-0.8</v>
      </c>
      <c r="H17">
        <v>0</v>
      </c>
      <c r="I17">
        <v>0</v>
      </c>
      <c r="J17">
        <v>0</v>
      </c>
    </row>
    <row r="18" spans="1:10" x14ac:dyDescent="0.3">
      <c r="A18" s="4">
        <f>IF(timeseries!A18&lt;&gt;"",timeseries!A18,"")</f>
        <v>45383.666666666664</v>
      </c>
      <c r="B18">
        <v>1</v>
      </c>
      <c r="C18">
        <v>1</v>
      </c>
      <c r="D18">
        <v>1</v>
      </c>
      <c r="E18">
        <v>-0.8</v>
      </c>
      <c r="F18">
        <v>-0.8</v>
      </c>
      <c r="G18">
        <v>-0.8</v>
      </c>
      <c r="H18">
        <v>0</v>
      </c>
      <c r="I18">
        <v>0</v>
      </c>
      <c r="J18">
        <v>0</v>
      </c>
    </row>
    <row r="19" spans="1:10" x14ac:dyDescent="0.3">
      <c r="A19" s="4">
        <f>IF(timeseries!A19&lt;&gt;"",timeseries!A19,"")</f>
        <v>45383.708333333336</v>
      </c>
      <c r="B19">
        <v>1</v>
      </c>
      <c r="C19">
        <v>1</v>
      </c>
      <c r="D19">
        <v>1</v>
      </c>
      <c r="E19">
        <v>-0.8</v>
      </c>
      <c r="F19">
        <v>-0.8</v>
      </c>
      <c r="G19">
        <v>-0.8</v>
      </c>
      <c r="H19">
        <v>0</v>
      </c>
      <c r="I19">
        <v>0</v>
      </c>
      <c r="J19">
        <v>0</v>
      </c>
    </row>
    <row r="20" spans="1:10" x14ac:dyDescent="0.3">
      <c r="A20" s="4">
        <f>IF(timeseries!A20&lt;&gt;"",timeseries!A20,"")</f>
        <v>45383.75</v>
      </c>
      <c r="B20">
        <v>1</v>
      </c>
      <c r="C20">
        <v>1</v>
      </c>
      <c r="D20">
        <v>1</v>
      </c>
      <c r="E20">
        <v>-0.8</v>
      </c>
      <c r="F20">
        <v>-0.8</v>
      </c>
      <c r="G20">
        <v>-0.8</v>
      </c>
      <c r="H20">
        <v>0</v>
      </c>
      <c r="I20">
        <v>0</v>
      </c>
      <c r="J20">
        <v>0</v>
      </c>
    </row>
    <row r="21" spans="1:10" x14ac:dyDescent="0.3">
      <c r="A21" s="4">
        <f>IF(timeseries!A21&lt;&gt;"",timeseries!A21,"")</f>
        <v>45383.791666666664</v>
      </c>
      <c r="B21">
        <v>1</v>
      </c>
      <c r="C21">
        <v>1</v>
      </c>
      <c r="D21">
        <v>1</v>
      </c>
      <c r="E21">
        <v>-0.8</v>
      </c>
      <c r="F21">
        <v>-0.8</v>
      </c>
      <c r="G21">
        <v>-0.8</v>
      </c>
      <c r="H21">
        <v>0</v>
      </c>
      <c r="I21">
        <v>0</v>
      </c>
      <c r="J21">
        <v>0</v>
      </c>
    </row>
    <row r="22" spans="1:10" x14ac:dyDescent="0.3">
      <c r="A22" s="4">
        <f>IF(timeseries!A22&lt;&gt;"",timeseries!A22,"")</f>
        <v>45383.833333333336</v>
      </c>
      <c r="B22">
        <v>1</v>
      </c>
      <c r="C22">
        <v>1</v>
      </c>
      <c r="D22">
        <v>1</v>
      </c>
      <c r="E22">
        <v>-0.8</v>
      </c>
      <c r="F22">
        <v>-0.8</v>
      </c>
      <c r="G22">
        <v>-0.8</v>
      </c>
      <c r="H22">
        <v>0</v>
      </c>
      <c r="I22">
        <v>0</v>
      </c>
      <c r="J22">
        <v>0</v>
      </c>
    </row>
    <row r="23" spans="1:10" x14ac:dyDescent="0.3">
      <c r="A23" s="4">
        <f>IF(timeseries!A23&lt;&gt;"",timeseries!A23,"")</f>
        <v>45383.875</v>
      </c>
      <c r="B23">
        <v>1</v>
      </c>
      <c r="C23">
        <v>1</v>
      </c>
      <c r="D23">
        <v>1</v>
      </c>
      <c r="E23">
        <v>-0.8</v>
      </c>
      <c r="F23">
        <v>-0.8</v>
      </c>
      <c r="G23">
        <v>-0.8</v>
      </c>
      <c r="H23">
        <v>0</v>
      </c>
      <c r="I23">
        <v>0</v>
      </c>
      <c r="J23">
        <v>0</v>
      </c>
    </row>
    <row r="24" spans="1:10" x14ac:dyDescent="0.3">
      <c r="A24" s="4">
        <f>IF(timeseries!A24&lt;&gt;"",timeseries!A24,"")</f>
        <v>45383.916666666664</v>
      </c>
      <c r="B24">
        <v>1</v>
      </c>
      <c r="C24">
        <v>1</v>
      </c>
      <c r="D24">
        <v>1</v>
      </c>
      <c r="E24">
        <v>-0.8</v>
      </c>
      <c r="F24">
        <v>-0.8</v>
      </c>
      <c r="G24">
        <v>-0.8</v>
      </c>
      <c r="H24">
        <v>0</v>
      </c>
      <c r="I24">
        <v>0</v>
      </c>
      <c r="J24">
        <v>0</v>
      </c>
    </row>
    <row r="25" spans="1:10" x14ac:dyDescent="0.3">
      <c r="A25" s="4">
        <f>IF(timeseries!A25&lt;&gt;"",timeseries!A25,"")</f>
        <v>45383.958333333336</v>
      </c>
      <c r="B25">
        <v>1</v>
      </c>
      <c r="C25">
        <v>1</v>
      </c>
      <c r="D25">
        <v>1</v>
      </c>
      <c r="E25">
        <v>-0.8</v>
      </c>
      <c r="F25">
        <v>-0.8</v>
      </c>
      <c r="G25">
        <v>-0.8</v>
      </c>
      <c r="H25">
        <v>0</v>
      </c>
      <c r="I25">
        <v>0</v>
      </c>
      <c r="J2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D25"/>
  <sheetViews>
    <sheetView workbookViewId="0">
      <selection activeCell="B4" sqref="B4"/>
    </sheetView>
  </sheetViews>
  <sheetFormatPr defaultRowHeight="14.4" x14ac:dyDescent="0.3"/>
  <cols>
    <col min="1" max="1" width="19.33203125" style="4" customWidth="1"/>
  </cols>
  <sheetData>
    <row r="1" spans="1:4" x14ac:dyDescent="0.3">
      <c r="A1" s="2" t="s">
        <v>30</v>
      </c>
      <c r="B1" t="s">
        <v>95</v>
      </c>
      <c r="C1" t="s">
        <v>96</v>
      </c>
      <c r="D1" t="s">
        <v>97</v>
      </c>
    </row>
    <row r="2" spans="1:4" x14ac:dyDescent="0.3">
      <c r="A2" s="4">
        <f>IF(timeseries!A2&lt;&gt;"",timeseries!A2,"")</f>
        <v>45383</v>
      </c>
      <c r="B2">
        <v>5</v>
      </c>
      <c r="C2">
        <v>5</v>
      </c>
      <c r="D2">
        <v>5</v>
      </c>
    </row>
    <row r="3" spans="1:4" x14ac:dyDescent="0.3">
      <c r="A3" s="4">
        <f>IF(timeseries!A3&lt;&gt;"",timeseries!A3,"")</f>
        <v>45383.041666666664</v>
      </c>
      <c r="B3">
        <v>4.2857142857142856</v>
      </c>
      <c r="C3">
        <v>4.2857142857142856</v>
      </c>
      <c r="D3">
        <v>4.2857142857142856</v>
      </c>
    </row>
    <row r="4" spans="1:4" x14ac:dyDescent="0.3">
      <c r="A4" s="4">
        <f>IF(timeseries!A4&lt;&gt;"",timeseries!A4,"")</f>
        <v>45383.083333333336</v>
      </c>
      <c r="B4">
        <v>4.2857142857142856</v>
      </c>
      <c r="C4">
        <v>4.2857142857142856</v>
      </c>
      <c r="D4">
        <v>4.2857142857142856</v>
      </c>
    </row>
    <row r="5" spans="1:4" x14ac:dyDescent="0.3">
      <c r="A5" s="4">
        <f>IF(timeseries!A5&lt;&gt;"",timeseries!A5,"")</f>
        <v>45383.125</v>
      </c>
      <c r="B5">
        <v>4.4117647058823533</v>
      </c>
      <c r="C5">
        <v>4.4117647058823533</v>
      </c>
      <c r="D5">
        <v>4.4117647058823533</v>
      </c>
    </row>
    <row r="6" spans="1:4" x14ac:dyDescent="0.3">
      <c r="A6" s="4">
        <f>IF(timeseries!A6&lt;&gt;"",timeseries!A6,"")</f>
        <v>45383.166666666664</v>
      </c>
      <c r="B6">
        <v>4.5454545454545459</v>
      </c>
      <c r="C6">
        <v>4.5454545454545459</v>
      </c>
      <c r="D6">
        <v>4.5454545454545459</v>
      </c>
    </row>
    <row r="7" spans="1:4" x14ac:dyDescent="0.3">
      <c r="A7" s="4">
        <f>IF(timeseries!A7&lt;&gt;"",timeseries!A7,"")</f>
        <v>45383.208333333336</v>
      </c>
      <c r="B7">
        <v>4.6875</v>
      </c>
      <c r="C7">
        <v>4.6875</v>
      </c>
      <c r="D7">
        <v>4.6875</v>
      </c>
    </row>
    <row r="8" spans="1:4" x14ac:dyDescent="0.3">
      <c r="A8" s="4">
        <f>IF(timeseries!A8&lt;&gt;"",timeseries!A8,"")</f>
        <v>45383.25</v>
      </c>
      <c r="B8">
        <v>4.838709677419355</v>
      </c>
      <c r="C8">
        <v>4.838709677419355</v>
      </c>
      <c r="D8">
        <v>4.838709677419355</v>
      </c>
    </row>
    <row r="9" spans="1:4" x14ac:dyDescent="0.3">
      <c r="A9" s="4">
        <f>IF(timeseries!A9&lt;&gt;"",timeseries!A9,"")</f>
        <v>45383.291666666664</v>
      </c>
      <c r="B9">
        <v>5</v>
      </c>
      <c r="C9">
        <v>5</v>
      </c>
      <c r="D9">
        <v>5</v>
      </c>
    </row>
    <row r="10" spans="1:4" x14ac:dyDescent="0.3">
      <c r="A10" s="4">
        <f>IF(timeseries!A10&lt;&gt;"",timeseries!A10,"")</f>
        <v>45383.333333333336</v>
      </c>
      <c r="B10">
        <v>6</v>
      </c>
      <c r="C10">
        <v>6</v>
      </c>
      <c r="D10">
        <v>6</v>
      </c>
    </row>
    <row r="11" spans="1:4" x14ac:dyDescent="0.3">
      <c r="A11" s="4">
        <f>IF(timeseries!A11&lt;&gt;"",timeseries!A11,"")</f>
        <v>45383.375</v>
      </c>
      <c r="B11">
        <v>6</v>
      </c>
      <c r="C11">
        <v>6</v>
      </c>
      <c r="D11">
        <v>6</v>
      </c>
    </row>
    <row r="12" spans="1:4" x14ac:dyDescent="0.3">
      <c r="A12" s="4">
        <f>IF(timeseries!A12&lt;&gt;"",timeseries!A12,"")</f>
        <v>45383.416666666664</v>
      </c>
      <c r="B12">
        <v>6</v>
      </c>
      <c r="C12">
        <v>6</v>
      </c>
      <c r="D12">
        <v>6</v>
      </c>
    </row>
    <row r="13" spans="1:4" x14ac:dyDescent="0.3">
      <c r="A13" s="4">
        <f>IF(timeseries!A13&lt;&gt;"",timeseries!A13,"")</f>
        <v>45383.458333333336</v>
      </c>
      <c r="B13">
        <v>6</v>
      </c>
      <c r="C13">
        <v>6</v>
      </c>
      <c r="D13">
        <v>6</v>
      </c>
    </row>
    <row r="14" spans="1:4" x14ac:dyDescent="0.3">
      <c r="A14" s="4">
        <f>IF(timeseries!A14&lt;&gt;"",timeseries!A14,"")</f>
        <v>45383.5</v>
      </c>
      <c r="B14">
        <v>6</v>
      </c>
      <c r="C14">
        <v>6</v>
      </c>
      <c r="D14">
        <v>6</v>
      </c>
    </row>
    <row r="15" spans="1:4" x14ac:dyDescent="0.3">
      <c r="A15" s="4">
        <f>IF(timeseries!A15&lt;&gt;"",timeseries!A15,"")</f>
        <v>45383.541666666664</v>
      </c>
      <c r="B15">
        <v>6</v>
      </c>
      <c r="C15">
        <v>6</v>
      </c>
      <c r="D15">
        <v>6</v>
      </c>
    </row>
    <row r="16" spans="1:4" x14ac:dyDescent="0.3">
      <c r="A16" s="4">
        <f>IF(timeseries!A16&lt;&gt;"",timeseries!A16,"")</f>
        <v>45383.583333333336</v>
      </c>
      <c r="B16">
        <v>6</v>
      </c>
      <c r="C16">
        <v>6</v>
      </c>
      <c r="D16">
        <v>6</v>
      </c>
    </row>
    <row r="17" spans="1:4" x14ac:dyDescent="0.3">
      <c r="A17" s="4">
        <f>IF(timeseries!A17&lt;&gt;"",timeseries!A17,"")</f>
        <v>45383.625</v>
      </c>
      <c r="B17">
        <v>6</v>
      </c>
      <c r="C17">
        <v>6</v>
      </c>
      <c r="D17">
        <v>6</v>
      </c>
    </row>
    <row r="18" spans="1:4" x14ac:dyDescent="0.3">
      <c r="A18" s="4">
        <f>IF(timeseries!A18&lt;&gt;"",timeseries!A18,"")</f>
        <v>45383.666666666664</v>
      </c>
      <c r="B18">
        <v>6</v>
      </c>
      <c r="C18">
        <v>6</v>
      </c>
      <c r="D18">
        <v>6</v>
      </c>
    </row>
    <row r="19" spans="1:4" x14ac:dyDescent="0.3">
      <c r="A19" s="4">
        <f>IF(timeseries!A19&lt;&gt;"",timeseries!A19,"")</f>
        <v>45383.708333333336</v>
      </c>
      <c r="B19">
        <v>3.75</v>
      </c>
      <c r="C19">
        <v>3.75</v>
      </c>
      <c r="D19">
        <v>3.75</v>
      </c>
    </row>
    <row r="20" spans="1:4" x14ac:dyDescent="0.3">
      <c r="A20" s="4">
        <f>IF(timeseries!A20&lt;&gt;"",timeseries!A20,"")</f>
        <v>45383.75</v>
      </c>
      <c r="B20">
        <v>3.75</v>
      </c>
      <c r="C20">
        <v>3.75</v>
      </c>
      <c r="D20">
        <v>3.75</v>
      </c>
    </row>
    <row r="21" spans="1:4" x14ac:dyDescent="0.3">
      <c r="A21" s="4">
        <f>IF(timeseries!A21&lt;&gt;"",timeseries!A21,"")</f>
        <v>45383.791666666664</v>
      </c>
      <c r="B21">
        <v>3.75</v>
      </c>
      <c r="C21">
        <v>3.75</v>
      </c>
      <c r="D21">
        <v>3.75</v>
      </c>
    </row>
    <row r="22" spans="1:4" x14ac:dyDescent="0.3">
      <c r="A22" s="4">
        <f>IF(timeseries!A22&lt;&gt;"",timeseries!A22,"")</f>
        <v>45383.833333333336</v>
      </c>
      <c r="B22">
        <v>3.75</v>
      </c>
      <c r="C22">
        <v>3.75</v>
      </c>
      <c r="D22">
        <v>3.75</v>
      </c>
    </row>
    <row r="23" spans="1:4" x14ac:dyDescent="0.3">
      <c r="A23" s="4">
        <f>IF(timeseries!A23&lt;&gt;"",timeseries!A23,"")</f>
        <v>45383.875</v>
      </c>
      <c r="B23">
        <v>4.2857142857142856</v>
      </c>
      <c r="C23">
        <v>4.2857142857142856</v>
      </c>
      <c r="D23">
        <v>4.2857142857142856</v>
      </c>
    </row>
    <row r="24" spans="1:4" x14ac:dyDescent="0.3">
      <c r="A24" s="4">
        <f>IF(timeseries!A24&lt;&gt;"",timeseries!A24,"")</f>
        <v>45383.916666666664</v>
      </c>
      <c r="B24">
        <v>4.2857142857142856</v>
      </c>
      <c r="C24">
        <v>4.2857142857142856</v>
      </c>
      <c r="D24">
        <v>4.2857142857142856</v>
      </c>
    </row>
    <row r="25" spans="1:4" x14ac:dyDescent="0.3">
      <c r="A25" s="4">
        <f>IF(timeseries!A25&lt;&gt;"",timeseries!A25,"")</f>
        <v>45383.958333333336</v>
      </c>
      <c r="B25">
        <v>4.2857142857142856</v>
      </c>
      <c r="C25">
        <v>4.2857142857142856</v>
      </c>
      <c r="D25">
        <v>4.2857142857142856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market_prices</vt:lpstr>
      <vt:lpstr>reserve_realisation</vt:lpstr>
      <vt:lpstr>bid_slots</vt:lpstr>
      <vt:lpstr>balance_prices</vt:lpstr>
      <vt:lpstr>reserve_activation_price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2025-04-25T11:33:00Z</dcterms:modified>
</cp:coreProperties>
</file>