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126EFFD4-1C7C-44ED-B784-97D3C87E86E1}" xr6:coauthVersionLast="47" xr6:coauthVersionMax="47" xr10:uidLastSave="{00000000-0000-0000-0000-000000000000}"/>
  <bookViews>
    <workbookView xWindow="-108" yWindow="-108" windowWidth="23256" windowHeight="12576" tabRatio="796" firstSheet="7" activeTab="14" xr2:uid="{788BFBD1-D930-4535-8A91-D85C56924796}"/>
  </bookViews>
  <sheets>
    <sheet name="timeseries" sheetId="18" r:id="rId1"/>
    <sheet name="setup" sheetId="27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6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30" r:id="rId15"/>
    <sheet name="price" sheetId="4" r:id="rId16"/>
    <sheet name="markets" sheetId="5" r:id="rId17"/>
    <sheet name="bid_slots" sheetId="29" r:id="rId18"/>
    <sheet name="reserve_realisation" sheetId="23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ap_ts" sheetId="16" r:id="rId27"/>
    <sheet name="constraints" sheetId="14" r:id="rId28"/>
    <sheet name="gen_constraint" sheetId="15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24" l="1"/>
  <c r="A10" i="24"/>
  <c r="A9" i="24"/>
  <c r="A8" i="24"/>
  <c r="A7" i="24"/>
  <c r="A6" i="24"/>
  <c r="A5" i="24"/>
  <c r="A4" i="24"/>
  <c r="A3" i="24"/>
  <c r="A2" i="24"/>
  <c r="A11" i="29" l="1"/>
  <c r="A10" i="29"/>
  <c r="A9" i="29"/>
  <c r="A8" i="29"/>
  <c r="A7" i="29"/>
  <c r="A6" i="29"/>
  <c r="A5" i="29"/>
  <c r="A4" i="29"/>
  <c r="A3" i="29"/>
  <c r="A2" i="29"/>
  <c r="A25" i="28" l="1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5" i="23" l="1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G3" i="20" l="1"/>
  <c r="G4" i="20"/>
  <c r="G5" i="20"/>
  <c r="G6" i="20"/>
  <c r="G7" i="20"/>
  <c r="G8" i="20"/>
  <c r="G9" i="20"/>
  <c r="G10" i="20"/>
  <c r="G11" i="20"/>
  <c r="G2" i="20"/>
  <c r="D3" i="20"/>
  <c r="D4" i="20"/>
  <c r="D5" i="20"/>
  <c r="D6" i="20"/>
  <c r="D7" i="20"/>
  <c r="D8" i="20"/>
  <c r="D9" i="20"/>
  <c r="D10" i="20"/>
  <c r="D11" i="20"/>
  <c r="D2" i="20"/>
  <c r="B3" i="20"/>
  <c r="C3" i="20"/>
  <c r="E3" i="20"/>
  <c r="F3" i="20"/>
  <c r="B4" i="20"/>
  <c r="C4" i="20"/>
  <c r="E4" i="20"/>
  <c r="F4" i="20"/>
  <c r="B5" i="20"/>
  <c r="C5" i="20"/>
  <c r="E5" i="20"/>
  <c r="F5" i="20"/>
  <c r="B6" i="20"/>
  <c r="C6" i="20"/>
  <c r="E6" i="20"/>
  <c r="F6" i="20"/>
  <c r="B7" i="20"/>
  <c r="C7" i="20"/>
  <c r="E7" i="20"/>
  <c r="F7" i="20"/>
  <c r="B8" i="20"/>
  <c r="C8" i="20"/>
  <c r="E8" i="20"/>
  <c r="F8" i="20"/>
  <c r="B9" i="20"/>
  <c r="C9" i="20"/>
  <c r="E9" i="20"/>
  <c r="F9" i="20"/>
  <c r="B10" i="20"/>
  <c r="C10" i="20"/>
  <c r="E10" i="20"/>
  <c r="F10" i="20"/>
  <c r="B11" i="20"/>
  <c r="C11" i="20"/>
  <c r="E11" i="20"/>
  <c r="F11" i="20"/>
  <c r="A11" i="8"/>
  <c r="A10" i="8"/>
  <c r="A9" i="8"/>
  <c r="A8" i="8"/>
  <c r="A7" i="8"/>
  <c r="A6" i="8"/>
  <c r="A5" i="8"/>
  <c r="A4" i="8"/>
  <c r="A3" i="8"/>
  <c r="A2" i="8"/>
  <c r="F2" i="20"/>
  <c r="E2" i="20"/>
  <c r="C2" i="20"/>
  <c r="B2" i="20"/>
  <c r="A11" i="20"/>
  <c r="A10" i="20"/>
  <c r="A9" i="20"/>
  <c r="A8" i="20"/>
  <c r="A7" i="20"/>
  <c r="A6" i="20"/>
  <c r="A5" i="20"/>
  <c r="A4" i="20"/>
  <c r="A3" i="20"/>
  <c r="A2" i="20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1" i="10"/>
  <c r="D1" i="10" s="1"/>
  <c r="E1" i="10" s="1"/>
  <c r="F1" i="10" s="1"/>
  <c r="G1" i="10" s="1"/>
  <c r="H1" i="10" s="1"/>
  <c r="I1" i="10" s="1"/>
  <c r="J1" i="10" s="1"/>
  <c r="K1" i="10" s="1"/>
</calcChain>
</file>

<file path=xl/sharedStrings.xml><?xml version="1.0" encoding="utf-8"?>
<sst xmlns="http://schemas.openxmlformats.org/spreadsheetml/2006/main" count="200" uniqueCount="131">
  <si>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</si>
  <si>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</si>
  <si>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</si>
  <si>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</si>
  <si>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</si>
  <si>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</si>
  <si>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</si>
  <si>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</si>
  <si>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</si>
  <si>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is_inflow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</si>
  <si>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</si>
  <si>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</si>
  <si>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</si>
  <si>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</si>
  <si>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</si>
  <si>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</si>
  <si>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</si>
  <si>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</si>
  <si>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</si>
  <si>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</si>
  <si>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</si>
  <si>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source</t>
  </si>
  <si>
    <t>source_sink</t>
  </si>
  <si>
    <t>sink</t>
  </si>
  <si>
    <t>t</t>
  </si>
  <si>
    <t>market</t>
  </si>
  <si>
    <t>is_res</t>
  </si>
  <si>
    <t>conversion_coeff</t>
  </si>
  <si>
    <t>energy</t>
  </si>
  <si>
    <t>direction</t>
  </si>
  <si>
    <t>none</t>
  </si>
  <si>
    <t>name</t>
  </si>
  <si>
    <t>propability</t>
  </si>
  <si>
    <t>s1</t>
  </si>
  <si>
    <t>s2</t>
  </si>
  <si>
    <t>start_cost</t>
  </si>
  <si>
    <t>realisation</t>
  </si>
  <si>
    <t>min_online</t>
  </si>
  <si>
    <t>min_offline</t>
  </si>
  <si>
    <t>ramp_factor</t>
  </si>
  <si>
    <t>reserve_type</t>
  </si>
  <si>
    <t>is_cf_fix</t>
  </si>
  <si>
    <t>initial_state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</si>
  <si>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</si>
  <si>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</si>
  <si>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</si>
  <si>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</si>
  <si>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</si>
  <si>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</si>
  <si>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</si>
  <si>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</si>
  <si>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residual_value</t>
  </si>
  <si>
    <t>npe,up,s1</t>
  </si>
  <si>
    <t>npe,up,s2</t>
  </si>
  <si>
    <t>npe,dw,s1</t>
  </si>
  <si>
    <t>npe,dw,s2</t>
  </si>
  <si>
    <t>npe,s1</t>
  </si>
  <si>
    <t>npe,s2</t>
  </si>
  <si>
    <t>max_online</t>
  </si>
  <si>
    <t>max_offline</t>
  </si>
  <si>
    <t>entity</t>
  </si>
  <si>
    <t>group</t>
  </si>
  <si>
    <t>heat</t>
  </si>
  <si>
    <t>ngchp</t>
  </si>
  <si>
    <t>heatpump</t>
  </si>
  <si>
    <t>windturb</t>
  </si>
  <si>
    <t>windturb,s1</t>
  </si>
  <si>
    <t>windturb,s2</t>
  </si>
  <si>
    <t>heat,s1</t>
  </si>
  <si>
    <t>heat,s2</t>
  </si>
  <si>
    <t>ngchp_c1</t>
  </si>
  <si>
    <t>eq</t>
  </si>
  <si>
    <t>ngchp_c1,ngchp,elc,s1</t>
  </si>
  <si>
    <t>ngchp_c1,ngchp,heat,s1</t>
  </si>
  <si>
    <t>ngchp_c1,s1</t>
  </si>
  <si>
    <t>ngchp_c1,ngchp,elc,s2</t>
  </si>
  <si>
    <t>ngchp_c1,ngchp,heat,s2</t>
  </si>
  <si>
    <t>ngchp_c1,s2</t>
  </si>
  <si>
    <t>is_limited</t>
  </si>
  <si>
    <t>min_bid</t>
  </si>
  <si>
    <t>max_bid</t>
  </si>
  <si>
    <t>fee</t>
  </si>
  <si>
    <t>is_setpoint</t>
  </si>
  <si>
    <t>penalty</t>
  </si>
  <si>
    <t>processgroup</t>
  </si>
  <si>
    <t>elc_res</t>
  </si>
  <si>
    <t>elc_sto</t>
  </si>
  <si>
    <t>charge</t>
  </si>
  <si>
    <t>discharge</t>
  </si>
  <si>
    <t>windturb,s3</t>
  </si>
  <si>
    <t>heat,s3</t>
  </si>
  <si>
    <t>p1</t>
  </si>
  <si>
    <t>npe,s3</t>
  </si>
  <si>
    <t>npe,dw,s3</t>
  </si>
  <si>
    <t>npe,up,s3</t>
  </si>
  <si>
    <t>s3</t>
  </si>
  <si>
    <t>ngchp_c1,ngchp,elc,s3</t>
  </si>
  <si>
    <t>ngchp_c1,ngchp,heat,s3</t>
  </si>
  <si>
    <t>ngchp_c1,s3</t>
  </si>
  <si>
    <t>ng,ALL</t>
  </si>
  <si>
    <t>p_res</t>
  </si>
  <si>
    <t>node1</t>
  </si>
  <si>
    <t>node2</t>
  </si>
  <si>
    <t>delay_t</t>
  </si>
  <si>
    <t>min_flow</t>
  </si>
  <si>
    <t>max_flow</t>
  </si>
  <si>
    <t>state_min</t>
  </si>
  <si>
    <t>is_temp</t>
  </si>
  <si>
    <t>use_market_bids</t>
  </si>
  <si>
    <t>use_reserves</t>
  </si>
  <si>
    <t>use_reserve_realisation</t>
  </si>
  <si>
    <t>use_node_dummy_variables</t>
  </si>
  <si>
    <t>use_ramp_dummy_variables</t>
  </si>
  <si>
    <t>common_scenario_name</t>
  </si>
  <si>
    <t>scenario_independent_state</t>
  </si>
  <si>
    <t>scenario_independent_online</t>
  </si>
  <si>
    <t>initial_load</t>
  </si>
  <si>
    <t>initial_flow</t>
  </si>
  <si>
    <t>node_dummy_variable_cost</t>
  </si>
  <si>
    <t>ramp_dummy_variable_cost</t>
  </si>
  <si>
    <t>vom_cost</t>
  </si>
  <si>
    <t>t_e_conversion</t>
  </si>
  <si>
    <t>market_type</t>
  </si>
  <si>
    <t>group_type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</si>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</sst>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 capacity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cf!$B$1</c:f>
              <c:strCache>
                <c:ptCount val="1"/>
                <c:pt idx="0">
                  <c:v>windturb,s1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cf!$B$2:$B$11</c:f>
              <c:numCache>
                <c:formatCode>General</c:formatCode>
                <c:ptCount val="10"/>
                <c:pt idx="0">
                  <c:v>0.8</c:v>
                </c:pt>
                <c:pt idx="1">
                  <c:v>0.82400000000000007</c:v>
                </c:pt>
                <c:pt idx="2">
                  <c:v>0.89700000000000002</c:v>
                </c:pt>
                <c:pt idx="3">
                  <c:v>0.85899999999999999</c:v>
                </c:pt>
                <c:pt idx="4">
                  <c:v>0.95899999999999996</c:v>
                </c:pt>
                <c:pt idx="5">
                  <c:v>0.93399999999999994</c:v>
                </c:pt>
                <c:pt idx="6">
                  <c:v>0.83699999999999997</c:v>
                </c:pt>
                <c:pt idx="7">
                  <c:v>0.89999999999999991</c:v>
                </c:pt>
                <c:pt idx="8">
                  <c:v>0.96</c:v>
                </c:pt>
                <c:pt idx="9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E-46DA-8324-0F74D8E3F999}"/>
            </c:ext>
          </c:extLst>
        </c:ser>
        <c:ser>
          <c:idx val="1"/>
          <c:order val="1"/>
          <c:tx>
            <c:strRef>
              <c:f>cf!$C$1</c:f>
              <c:strCache>
                <c:ptCount val="1"/>
                <c:pt idx="0">
                  <c:v>windturb,s2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cf!$A$2:$A$11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cf!$C$2:$C$11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0.59599999999999997</c:v>
                </c:pt>
                <c:pt idx="2">
                  <c:v>0.63800000000000001</c:v>
                </c:pt>
                <c:pt idx="3">
                  <c:v>0.61099999999999999</c:v>
                </c:pt>
                <c:pt idx="4">
                  <c:v>0.54200000000000004</c:v>
                </c:pt>
                <c:pt idx="5">
                  <c:v>0.49000000000000005</c:v>
                </c:pt>
                <c:pt idx="6">
                  <c:v>0.49700000000000005</c:v>
                </c:pt>
                <c:pt idx="7">
                  <c:v>0.55300000000000005</c:v>
                </c:pt>
                <c:pt idx="8">
                  <c:v>0.53400000000000003</c:v>
                </c:pt>
                <c:pt idx="9">
                  <c:v>0.52700000000000002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9E-46DA-8324-0F74D8E3F999}"/>
            </c:ext>
          </c:extLst>
        </c:ser>
        <c:ser>
          <c:idx val="2"/>
          <c:order val="2"/>
          <c:tx>
            <c:strRef>
              <c:f>cf!$D$1</c:f>
              <c:strCache>
                <c:ptCount val="1"/>
                <c:pt idx="0">
                  <c:v>windturb,s3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cf!$A$2:$A$11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cf!$D$2:$D$11</c:f>
              <c:numCache>
                <c:formatCode>General</c:formatCode>
                <c:ptCount val="10"/>
                <c:pt idx="0">
                  <c:v>0.25</c:v>
                </c:pt>
                <c:pt idx="1">
                  <c:v>0.34899999999999998</c:v>
                </c:pt>
                <c:pt idx="2">
                  <c:v>0.27899999999999997</c:v>
                </c:pt>
                <c:pt idx="3">
                  <c:v>0.36299999999999999</c:v>
                </c:pt>
                <c:pt idx="4">
                  <c:v>0.27600000000000002</c:v>
                </c:pt>
                <c:pt idx="5">
                  <c:v>0.23500000000000001</c:v>
                </c:pt>
                <c:pt idx="6">
                  <c:v>0.17500000000000002</c:v>
                </c:pt>
                <c:pt idx="7">
                  <c:v>0.17600000000000002</c:v>
                </c:pt>
                <c:pt idx="8">
                  <c:v>0.21400000000000002</c:v>
                </c:pt>
                <c:pt idx="9">
                  <c:v>0.27400000000000002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4-4EE3-A942-C029DE8EC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835519"/>
        <c:axId val="297833023"/>
      </c:scatterChart>
      <c:valAx>
        <c:axId val="297835519"/>
        <c:scaling>
          <c:orientation val="minMax"/>
          <c:min val="44670.9588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97833023"/>
        <c:crosses val="autoZero"/>
        <c:crossBetween val="midCat"/>
        <c:majorUnit val="4.1670000000000013E-2"/>
      </c:valAx>
      <c:valAx>
        <c:axId val="2978330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Capacity</a:t>
                </a:r>
                <a:r>
                  <a:rPr lang="fi-FI" baseline="0"/>
                  <a:t> factor</a:t>
                </a:r>
                <a:endParaRPr lang="fi-F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9783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 node inflow (heat demand)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inflow!$B$1</c:f>
              <c:strCache>
                <c:ptCount val="1"/>
                <c:pt idx="0">
                  <c:v>heat,s1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inflow!$A$2:$A$11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inflow!$B$2:$B$11</c:f>
              <c:numCache>
                <c:formatCode>General</c:formatCode>
                <c:ptCount val="10"/>
                <c:pt idx="0">
                  <c:v>-7.34</c:v>
                </c:pt>
                <c:pt idx="1">
                  <c:v>-6.65</c:v>
                </c:pt>
                <c:pt idx="2">
                  <c:v>-6.17</c:v>
                </c:pt>
                <c:pt idx="3">
                  <c:v>-6.18</c:v>
                </c:pt>
                <c:pt idx="4">
                  <c:v>-5.9899999999999993</c:v>
                </c:pt>
                <c:pt idx="5">
                  <c:v>-5.31</c:v>
                </c:pt>
                <c:pt idx="6">
                  <c:v>-6.1099999999999994</c:v>
                </c:pt>
                <c:pt idx="7">
                  <c:v>-5.8</c:v>
                </c:pt>
                <c:pt idx="8">
                  <c:v>-4.8999999999999995</c:v>
                </c:pt>
                <c:pt idx="9">
                  <c:v>-5.7299999999999995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E5-48A3-B47D-4C6875736714}"/>
            </c:ext>
          </c:extLst>
        </c:ser>
        <c:ser>
          <c:idx val="1"/>
          <c:order val="1"/>
          <c:tx>
            <c:strRef>
              <c:f>inflow!$C$1</c:f>
              <c:strCache>
                <c:ptCount val="1"/>
                <c:pt idx="0">
                  <c:v>heat,s2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inflow!$A$2:$A$11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inflow!$C$2:$C$11</c:f>
              <c:numCache>
                <c:formatCode>General</c:formatCode>
                <c:ptCount val="10"/>
                <c:pt idx="0">
                  <c:v>-5.72</c:v>
                </c:pt>
                <c:pt idx="1">
                  <c:v>-5.62</c:v>
                </c:pt>
                <c:pt idx="2">
                  <c:v>-4.7</c:v>
                </c:pt>
                <c:pt idx="3">
                  <c:v>-4.0600000000000005</c:v>
                </c:pt>
                <c:pt idx="4">
                  <c:v>-4.32</c:v>
                </c:pt>
                <c:pt idx="5">
                  <c:v>-3.7800000000000002</c:v>
                </c:pt>
                <c:pt idx="6">
                  <c:v>-4.41</c:v>
                </c:pt>
                <c:pt idx="7">
                  <c:v>-3.98</c:v>
                </c:pt>
                <c:pt idx="8">
                  <c:v>-3.51</c:v>
                </c:pt>
                <c:pt idx="9">
                  <c:v>-3.11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E5-48A3-B47D-4C6875736714}"/>
            </c:ext>
          </c:extLst>
        </c:ser>
        <c:ser>
          <c:idx val="2"/>
          <c:order val="2"/>
          <c:tx>
            <c:strRef>
              <c:f>inflow!$D$1</c:f>
              <c:strCache>
                <c:ptCount val="1"/>
                <c:pt idx="0">
                  <c:v>heat,s3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inflow!$A$2:$A$11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inflow!$D$2:$D$11</c:f>
              <c:numCache>
                <c:formatCode>General</c:formatCode>
                <c:ptCount val="10"/>
                <c:pt idx="0">
                  <c:v>-7.84</c:v>
                </c:pt>
                <c:pt idx="1">
                  <c:v>-7.07</c:v>
                </c:pt>
                <c:pt idx="2">
                  <c:v>-6.73</c:v>
                </c:pt>
                <c:pt idx="3">
                  <c:v>-6.65</c:v>
                </c:pt>
                <c:pt idx="4">
                  <c:v>-7.08</c:v>
                </c:pt>
                <c:pt idx="5">
                  <c:v>-6.79</c:v>
                </c:pt>
                <c:pt idx="6">
                  <c:v>-7.13</c:v>
                </c:pt>
                <c:pt idx="7">
                  <c:v>-7.41</c:v>
                </c:pt>
                <c:pt idx="8">
                  <c:v>-7.2700000000000005</c:v>
                </c:pt>
                <c:pt idx="9">
                  <c:v>-7.7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E5-48A3-B47D-4C6875736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835519"/>
        <c:axId val="297833023"/>
      </c:scatterChart>
      <c:valAx>
        <c:axId val="297835519"/>
        <c:scaling>
          <c:orientation val="minMax"/>
          <c:min val="44670.9588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97833023"/>
        <c:crosses val="autoZero"/>
        <c:crossBetween val="midCat"/>
        <c:majorUnit val="4.1670000000000013E-2"/>
      </c:valAx>
      <c:valAx>
        <c:axId val="2978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MWh/h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9783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Electricity</a:t>
            </a:r>
            <a:r>
              <a:rPr lang="fi-FI" baseline="0"/>
              <a:t> market price (npe)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5.8030270172614105E-2"/>
          <c:y val="7.8684679303174632E-2"/>
          <c:w val="0.79701161406218624"/>
          <c:h val="0.80787484967019385"/>
        </c:manualLayout>
      </c:layout>
      <c:scatterChart>
        <c:scatterStyle val="lineMarker"/>
        <c:varyColors val="0"/>
        <c:ser>
          <c:idx val="0"/>
          <c:order val="0"/>
          <c:tx>
            <c:strRef>
              <c:f>market_prices!$B$1</c:f>
              <c:strCache>
                <c:ptCount val="1"/>
                <c:pt idx="0">
                  <c:v>npe,s1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market_prices!$B$2:$B$11</c:f>
              <c:numCache>
                <c:formatCode>General</c:formatCode>
                <c:ptCount val="10"/>
                <c:pt idx="0">
                  <c:v>16.12</c:v>
                </c:pt>
                <c:pt idx="1">
                  <c:v>23.68</c:v>
                </c:pt>
                <c:pt idx="2">
                  <c:v>64.53</c:v>
                </c:pt>
                <c:pt idx="3">
                  <c:v>43.86</c:v>
                </c:pt>
                <c:pt idx="4">
                  <c:v>64.95</c:v>
                </c:pt>
                <c:pt idx="5">
                  <c:v>85.16</c:v>
                </c:pt>
                <c:pt idx="6">
                  <c:v>141.19</c:v>
                </c:pt>
                <c:pt idx="7">
                  <c:v>72.239999999999995</c:v>
                </c:pt>
                <c:pt idx="8">
                  <c:v>31.92</c:v>
                </c:pt>
                <c:pt idx="9">
                  <c:v>11.35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9-4D07-A893-5EF628D3BE67}"/>
            </c:ext>
          </c:extLst>
        </c:ser>
        <c:ser>
          <c:idx val="1"/>
          <c:order val="1"/>
          <c:tx>
            <c:strRef>
              <c:f>market_prices!$C$1</c:f>
              <c:strCache>
                <c:ptCount val="1"/>
                <c:pt idx="0">
                  <c:v>npe,s2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market_prices!$C$2:$C$11</c:f>
              <c:numCache>
                <c:formatCode>General</c:formatCode>
                <c:ptCount val="10"/>
                <c:pt idx="0">
                  <c:v>15.72</c:v>
                </c:pt>
                <c:pt idx="1">
                  <c:v>7.11</c:v>
                </c:pt>
                <c:pt idx="2">
                  <c:v>36.51</c:v>
                </c:pt>
                <c:pt idx="3">
                  <c:v>28.26</c:v>
                </c:pt>
                <c:pt idx="4">
                  <c:v>47.09</c:v>
                </c:pt>
                <c:pt idx="5">
                  <c:v>33.479999999999997</c:v>
                </c:pt>
                <c:pt idx="6">
                  <c:v>68.42</c:v>
                </c:pt>
                <c:pt idx="7">
                  <c:v>64.709999999999994</c:v>
                </c:pt>
                <c:pt idx="8">
                  <c:v>9.58</c:v>
                </c:pt>
                <c:pt idx="9">
                  <c:v>23.67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29-4D07-A893-5EF628D3BE67}"/>
            </c:ext>
          </c:extLst>
        </c:ser>
        <c:ser>
          <c:idx val="2"/>
          <c:order val="2"/>
          <c:tx>
            <c:strRef>
              <c:f>market_prices!$D$1</c:f>
              <c:strCache>
                <c:ptCount val="1"/>
                <c:pt idx="0">
                  <c:v>npe,s3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market_prices!$A$2:$A$11</c:f>
              <c:numCache>
                <c:formatCode>d:m:yyyy\ h\:mm;@</c:formatCode>
                <c:ptCount val="10"/>
                <c:pt idx="0">
                  <c:v>44671</c:v>
                </c:pt>
                <c:pt idx="1">
                  <c:v>44671.041666666664</c:v>
                </c:pt>
                <c:pt idx="2">
                  <c:v>44671.08333321759</c:v>
                </c:pt>
                <c:pt idx="3">
                  <c:v>44671.124999826388</c:v>
                </c:pt>
                <c:pt idx="4">
                  <c:v>44671.166666435187</c:v>
                </c:pt>
                <c:pt idx="5">
                  <c:v>44671.208333043978</c:v>
                </c:pt>
                <c:pt idx="6">
                  <c:v>44671.249999537038</c:v>
                </c:pt>
                <c:pt idx="7">
                  <c:v>44671.291666087964</c:v>
                </c:pt>
                <c:pt idx="8">
                  <c:v>44671.333332638889</c:v>
                </c:pt>
                <c:pt idx="9">
                  <c:v>44671.374999189815</c:v>
                </c:pt>
              </c:numCache>
            </c:numRef>
          </c:xVal>
          <c:yVal>
            <c:numRef>
              <c:f>market_prices!$D$2:$D$11</c:f>
              <c:numCache>
                <c:formatCode>General</c:formatCode>
                <c:ptCount val="10"/>
                <c:pt idx="0">
                  <c:v>8.98</c:v>
                </c:pt>
                <c:pt idx="1">
                  <c:v>4.4800000000000004</c:v>
                </c:pt>
                <c:pt idx="2">
                  <c:v>25.19</c:v>
                </c:pt>
                <c:pt idx="3">
                  <c:v>19.100000000000001</c:v>
                </c:pt>
                <c:pt idx="4">
                  <c:v>25.81</c:v>
                </c:pt>
                <c:pt idx="5">
                  <c:v>23.67</c:v>
                </c:pt>
                <c:pt idx="6">
                  <c:v>50.43</c:v>
                </c:pt>
                <c:pt idx="7">
                  <c:v>36.69</c:v>
                </c:pt>
                <c:pt idx="8">
                  <c:v>6.36</c:v>
                </c:pt>
                <c:pt idx="9">
                  <c:v>14.89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7-4007-B1C3-34FAFF18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32927"/>
        <c:axId val="452133343"/>
      </c:scatterChart>
      <c:valAx>
        <c:axId val="452132927"/>
        <c:scaling>
          <c:orientation val="minMax"/>
          <c:min val="44670.9588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h: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52133343"/>
        <c:crosses val="autoZero"/>
        <c:crossBetween val="midCat"/>
        <c:majorUnit val="4.1670000000000013E-2"/>
      </c:valAx>
      <c:valAx>
        <c:axId val="45213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Price 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5213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</xdr:row>
      <xdr:rowOff>63817</xdr:rowOff>
    </xdr:from>
    <xdr:to>
      <xdr:col>15</xdr:col>
      <xdr:colOff>87630</xdr:colOff>
      <xdr:row>22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7057D-8727-4E0D-B3ED-1995CEB0E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0</xdr:row>
      <xdr:rowOff>76200</xdr:rowOff>
    </xdr:from>
    <xdr:to>
      <xdr:col>14</xdr:col>
      <xdr:colOff>596265</xdr:colOff>
      <xdr:row>21</xdr:row>
      <xdr:rowOff>77153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F8951-476D-4168-91E4-05CC72F0E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206188</xdr:colOff>
      <xdr:row>1</xdr:row>
      <xdr:rowOff>34739</xdr:rowOff>
    </xdr:from>
    <xdr:to>
      <xdr:col>16</xdr:col>
      <xdr:colOff>259977</xdr:colOff>
      <xdr:row>29</xdr:row>
      <xdr:rowOff>71718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0CCB9D-F47F-42E1-BEC1-8D919F995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A49"/>
  <sheetViews>
    <sheetView workbookViewId="0">
      <selection activeCell="A8" sqref="A8:A11"/>
    </sheetView>
  </sheetViews>
  <sheetFormatPr defaultRowHeight="14.4" x14ac:dyDescent="0.3"/>
  <cols>
    <col min="1" max="1" width="14.33203125" bestFit="1" customWidth="1"/>
  </cols>
  <sheetData>
    <row r="1" spans="1:1" x14ac:dyDescent="0.3">
      <c r="A1" t="s">
        <v>24</v>
      </c>
    </row>
    <row r="2" spans="1:1" x14ac:dyDescent="0.3">
      <c r="A2" s="5">
        <v>44671</v>
      </c>
    </row>
    <row r="3" spans="1:1" x14ac:dyDescent="0.3">
      <c r="A3" s="5">
        <v>44671.041666666664</v>
      </c>
    </row>
    <row r="4" spans="1:1" x14ac:dyDescent="0.3">
      <c r="A4" s="5">
        <v>44671.08333321759</v>
      </c>
    </row>
    <row r="5" spans="1:1" x14ac:dyDescent="0.3">
      <c r="A5" s="5">
        <v>44671.124999826388</v>
      </c>
    </row>
    <row r="6" spans="1:1" x14ac:dyDescent="0.3">
      <c r="A6" s="5">
        <v>44671.166666435187</v>
      </c>
    </row>
    <row r="7" spans="1:1" x14ac:dyDescent="0.3">
      <c r="A7" s="5">
        <v>44671.208333043978</v>
      </c>
    </row>
    <row r="8" spans="1:1" x14ac:dyDescent="0.3">
      <c r="A8" s="5">
        <v>44671.249999537038</v>
      </c>
    </row>
    <row r="9" spans="1:1" x14ac:dyDescent="0.3">
      <c r="A9" s="5">
        <v>44671.291666087964</v>
      </c>
    </row>
    <row r="10" spans="1:1" x14ac:dyDescent="0.3">
      <c r="A10" s="5">
        <v>44671.333332638889</v>
      </c>
    </row>
    <row r="11" spans="1:1" x14ac:dyDescent="0.3">
      <c r="A11" s="5">
        <v>44671.374999189815</v>
      </c>
    </row>
    <row r="12" spans="1:1" x14ac:dyDescent="0.3">
      <c r="A12" s="5"/>
    </row>
    <row r="13" spans="1:1" x14ac:dyDescent="0.3">
      <c r="A13" s="5"/>
    </row>
    <row r="14" spans="1:1" x14ac:dyDescent="0.3">
      <c r="A14" s="5"/>
    </row>
    <row r="15" spans="1:1" x14ac:dyDescent="0.3">
      <c r="A15" s="5"/>
    </row>
    <row r="16" spans="1:1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  <row r="26" spans="1:1" x14ac:dyDescent="0.3">
      <c r="A26" s="5"/>
    </row>
    <row r="27" spans="1:1" x14ac:dyDescent="0.3">
      <c r="A27" s="5"/>
    </row>
    <row r="28" spans="1:1" x14ac:dyDescent="0.3">
      <c r="A28" s="5"/>
    </row>
    <row r="29" spans="1:1" x14ac:dyDescent="0.3">
      <c r="A29" s="5"/>
    </row>
    <row r="30" spans="1:1" x14ac:dyDescent="0.3">
      <c r="A30" s="5"/>
    </row>
    <row r="31" spans="1:1" x14ac:dyDescent="0.3">
      <c r="A31" s="5"/>
    </row>
    <row r="32" spans="1:1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49" spans="1:1" x14ac:dyDescent="0.3">
      <c r="A49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B755-8BE1-4837-9877-4DDB59C80C3F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5.88671875" bestFit="1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108</v>
      </c>
      <c r="B2">
        <v>1</v>
      </c>
    </row>
    <row r="3" spans="1:2" x14ac:dyDescent="0.3">
      <c r="A3" t="s">
        <v>109</v>
      </c>
      <c r="B3">
        <v>1</v>
      </c>
    </row>
    <row r="4" spans="1:2" x14ac:dyDescent="0.3">
      <c r="A4" t="s">
        <v>110</v>
      </c>
      <c r="B4">
        <v>1</v>
      </c>
    </row>
    <row r="5" spans="1:2" x14ac:dyDescent="0.3">
      <c r="A5" t="s">
        <v>111</v>
      </c>
      <c r="B5">
        <v>1</v>
      </c>
    </row>
    <row r="6" spans="1:2" x14ac:dyDescent="0.3">
      <c r="A6" t="s">
        <v>112</v>
      </c>
      <c r="B6">
        <v>1</v>
      </c>
    </row>
    <row r="7" spans="1:2" x14ac:dyDescent="0.3">
      <c r="A7" t="s">
        <v>118</v>
      </c>
      <c r="B7">
        <v>10000</v>
      </c>
    </row>
    <row r="8" spans="1:2" x14ac:dyDescent="0.3">
      <c r="A8" t="s">
        <v>119</v>
      </c>
      <c r="B8">
        <v>10000</v>
      </c>
    </row>
    <row r="9" spans="1:2" x14ac:dyDescent="0.3">
      <c r="A9" t="s">
        <v>124</v>
      </c>
      <c r="B9">
        <v>0</v>
      </c>
    </row>
    <row r="10" spans="1:2" x14ac:dyDescent="0.3">
      <c r="A10" t="s">
        <v>125</v>
      </c>
      <c r="B10">
        <v>0</v>
      </c>
    </row>
    <row r="11" spans="1:2" x14ac:dyDescent="0.3">
      <c r="A11" t="s">
        <v>113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Q6"/>
  <sheetViews>
    <sheetView workbookViewId="0">
      <selection activeCell="O2" sqref="O2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9" width="8.6640625" bestFit="1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26</v>
      </c>
      <c r="E1" s="2" t="s">
        <v>6</v>
      </c>
      <c r="F1" s="2" t="s">
        <v>9</v>
      </c>
      <c r="G1" s="2" t="s">
        <v>3</v>
      </c>
      <c r="H1" s="2" t="s">
        <v>106</v>
      </c>
      <c r="I1" s="2" t="s">
        <v>4</v>
      </c>
      <c r="J1" s="2" t="s">
        <v>5</v>
      </c>
      <c r="K1" s="2" t="s">
        <v>42</v>
      </c>
      <c r="L1" s="2" t="s">
        <v>49</v>
      </c>
      <c r="M1" s="2" t="s">
        <v>114</v>
      </c>
      <c r="N1" s="2" t="s">
        <v>107</v>
      </c>
      <c r="O1" s="2" t="s">
        <v>121</v>
      </c>
      <c r="P1" s="2" t="s">
        <v>51</v>
      </c>
    </row>
    <row r="2" spans="1:17" x14ac:dyDescent="0.3">
      <c r="A2" t="s">
        <v>7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0</v>
      </c>
    </row>
    <row r="3" spans="1:17" x14ac:dyDescent="0.3">
      <c r="A3" t="s">
        <v>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</v>
      </c>
      <c r="P3" s="4">
        <v>0</v>
      </c>
    </row>
    <row r="4" spans="1:17" x14ac:dyDescent="0.3">
      <c r="A4" t="s">
        <v>86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10</v>
      </c>
      <c r="H4" s="4">
        <v>0</v>
      </c>
      <c r="I4" s="4">
        <v>3</v>
      </c>
      <c r="J4" s="4">
        <v>3</v>
      </c>
      <c r="K4" s="4">
        <v>0</v>
      </c>
      <c r="L4" s="4">
        <v>0.01</v>
      </c>
      <c r="M4" s="4">
        <v>0</v>
      </c>
      <c r="N4" s="4">
        <v>0</v>
      </c>
      <c r="O4" s="4">
        <v>1</v>
      </c>
      <c r="P4" s="4">
        <v>10</v>
      </c>
    </row>
    <row r="5" spans="1:17" x14ac:dyDescent="0.3">
      <c r="A5" t="s">
        <v>62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0</v>
      </c>
    </row>
    <row r="6" spans="1:17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6"/>
  <sheetViews>
    <sheetView workbookViewId="0">
      <selection activeCell="O10" sqref="O10"/>
    </sheetView>
  </sheetViews>
  <sheetFormatPr defaultRowHeight="14.4" x14ac:dyDescent="0.3"/>
  <cols>
    <col min="1" max="1" width="16.88671875" bestFit="1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  <col min="16" max="16" width="9.109375" style="2"/>
  </cols>
  <sheetData>
    <row r="1" spans="1:17" s="2" customFormat="1" x14ac:dyDescent="0.3">
      <c r="A1" s="2" t="s">
        <v>11</v>
      </c>
      <c r="B1" s="2" t="s">
        <v>12</v>
      </c>
      <c r="C1" s="2" t="s">
        <v>41</v>
      </c>
      <c r="D1" s="2" t="s">
        <v>13</v>
      </c>
      <c r="E1" s="2" t="s">
        <v>26</v>
      </c>
      <c r="F1" s="2" t="s">
        <v>16</v>
      </c>
      <c r="G1" s="2" t="s">
        <v>15</v>
      </c>
      <c r="H1" s="2" t="s">
        <v>18</v>
      </c>
      <c r="I1" s="2" t="s">
        <v>17</v>
      </c>
      <c r="J1" s="2" t="s">
        <v>35</v>
      </c>
      <c r="K1" s="2" t="s">
        <v>37</v>
      </c>
      <c r="L1" s="2" t="s">
        <v>38</v>
      </c>
      <c r="M1" s="2" t="s">
        <v>58</v>
      </c>
      <c r="N1" s="2" t="s">
        <v>59</v>
      </c>
      <c r="O1" s="2" t="s">
        <v>42</v>
      </c>
      <c r="P1" s="2" t="s">
        <v>115</v>
      </c>
      <c r="Q1" s="2" t="s">
        <v>43</v>
      </c>
    </row>
    <row r="2" spans="1:17" x14ac:dyDescent="0.3">
      <c r="A2" t="s">
        <v>63</v>
      </c>
      <c r="B2" s="4">
        <v>0</v>
      </c>
      <c r="C2" s="4">
        <v>0</v>
      </c>
      <c r="D2" s="4">
        <v>1</v>
      </c>
      <c r="E2" s="4">
        <v>0</v>
      </c>
      <c r="F2" s="4">
        <v>1</v>
      </c>
      <c r="G2" s="4">
        <v>0.8</v>
      </c>
      <c r="H2" s="4">
        <v>0.4</v>
      </c>
      <c r="I2" s="4">
        <v>1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1</v>
      </c>
      <c r="P2" s="4">
        <v>0</v>
      </c>
      <c r="Q2" s="4">
        <v>0</v>
      </c>
    </row>
    <row r="3" spans="1:17" x14ac:dyDescent="0.3">
      <c r="A3" t="s">
        <v>65</v>
      </c>
      <c r="B3" s="4">
        <v>1</v>
      </c>
      <c r="C3" s="4">
        <v>0</v>
      </c>
      <c r="D3" s="4">
        <v>0</v>
      </c>
      <c r="E3" s="4">
        <v>0</v>
      </c>
      <c r="F3" s="4">
        <v>1</v>
      </c>
      <c r="G3" s="4">
        <v>1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x14ac:dyDescent="0.3">
      <c r="A4" t="s">
        <v>64</v>
      </c>
      <c r="B4" s="4">
        <v>0</v>
      </c>
      <c r="C4" s="4">
        <v>0</v>
      </c>
      <c r="D4" s="4">
        <v>0</v>
      </c>
      <c r="E4" s="4">
        <v>0</v>
      </c>
      <c r="F4" s="4">
        <v>1</v>
      </c>
      <c r="G4" s="4">
        <v>3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 x14ac:dyDescent="0.3">
      <c r="A5" t="s">
        <v>87</v>
      </c>
      <c r="B5" s="4">
        <v>0</v>
      </c>
      <c r="C5" s="4">
        <v>0</v>
      </c>
      <c r="D5" s="4">
        <v>1</v>
      </c>
      <c r="E5" s="4">
        <v>0</v>
      </c>
      <c r="F5" s="4">
        <v>1</v>
      </c>
      <c r="G5" s="4">
        <v>0.99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3">
      <c r="A6" t="s">
        <v>88</v>
      </c>
      <c r="B6" s="4">
        <v>0</v>
      </c>
      <c r="C6" s="4">
        <v>0</v>
      </c>
      <c r="D6" s="4">
        <v>1</v>
      </c>
      <c r="E6" s="4">
        <v>0</v>
      </c>
      <c r="F6" s="4">
        <v>1</v>
      </c>
      <c r="G6" s="4">
        <v>0.99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A729-4FB7-440D-A765-676495DE3453}">
  <dimension ref="A1:C6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2" t="s">
        <v>123</v>
      </c>
      <c r="B1" s="2" t="s">
        <v>60</v>
      </c>
      <c r="C1" s="2" t="s">
        <v>61</v>
      </c>
    </row>
    <row r="2" spans="1:3" x14ac:dyDescent="0.3">
      <c r="A2" t="s">
        <v>0</v>
      </c>
      <c r="B2" t="s">
        <v>8</v>
      </c>
      <c r="C2" t="s">
        <v>85</v>
      </c>
    </row>
    <row r="3" spans="1:3" x14ac:dyDescent="0.3">
      <c r="A3" t="s">
        <v>11</v>
      </c>
      <c r="B3" t="s">
        <v>63</v>
      </c>
      <c r="C3" t="s">
        <v>100</v>
      </c>
    </row>
    <row r="4" spans="1:3" x14ac:dyDescent="0.3">
      <c r="A4" t="s">
        <v>11</v>
      </c>
      <c r="B4" t="s">
        <v>64</v>
      </c>
      <c r="C4" t="s">
        <v>100</v>
      </c>
    </row>
    <row r="5" spans="1:3" x14ac:dyDescent="0.3">
      <c r="A5" t="s">
        <v>11</v>
      </c>
      <c r="B5" t="s">
        <v>87</v>
      </c>
      <c r="C5" t="s">
        <v>100</v>
      </c>
    </row>
    <row r="6" spans="1:3" x14ac:dyDescent="0.3">
      <c r="A6" t="s">
        <v>11</v>
      </c>
      <c r="B6" t="s">
        <v>88</v>
      </c>
      <c r="C6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1"/>
  <sheetViews>
    <sheetView workbookViewId="0">
      <selection activeCell="A2" sqref="A2"/>
    </sheetView>
  </sheetViews>
  <sheetFormatPr defaultRowHeight="14.4" x14ac:dyDescent="0.3"/>
  <sheetData>
    <row r="1" spans="1:11" s="2" customFormat="1" x14ac:dyDescent="0.3">
      <c r="A1" s="2" t="s">
        <v>11</v>
      </c>
      <c r="B1" s="2">
        <v>1</v>
      </c>
      <c r="C1" s="2">
        <f>B1+1</f>
        <v>2</v>
      </c>
      <c r="D1" s="2">
        <f t="shared" ref="D1:K1" si="0">C1+1</f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1"/>
  <sheetViews>
    <sheetView workbookViewId="0">
      <selection activeCell="F2" sqref="F2"/>
    </sheetView>
  </sheetViews>
  <sheetFormatPr defaultColWidth="9.109375" defaultRowHeight="14.4" x14ac:dyDescent="0.3"/>
  <cols>
    <col min="1" max="1" width="16.8867187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2" customFormat="1" x14ac:dyDescent="0.3">
      <c r="A1" s="2" t="s">
        <v>11</v>
      </c>
      <c r="B1" s="2" t="s">
        <v>22</v>
      </c>
      <c r="C1" s="2" t="s">
        <v>0</v>
      </c>
      <c r="D1" s="2" t="s">
        <v>27</v>
      </c>
      <c r="E1" s="2" t="s">
        <v>14</v>
      </c>
      <c r="F1" s="2" t="s">
        <v>120</v>
      </c>
      <c r="G1" s="2" t="s">
        <v>20</v>
      </c>
      <c r="H1" s="2" t="s">
        <v>19</v>
      </c>
      <c r="I1" s="2" t="s">
        <v>116</v>
      </c>
      <c r="J1" s="2" t="s">
        <v>117</v>
      </c>
    </row>
    <row r="2" spans="1:10" x14ac:dyDescent="0.3">
      <c r="A2" t="s">
        <v>63</v>
      </c>
      <c r="B2" t="s">
        <v>21</v>
      </c>
      <c r="C2" t="s">
        <v>7</v>
      </c>
      <c r="D2">
        <v>1</v>
      </c>
      <c r="E2">
        <v>10</v>
      </c>
      <c r="F2">
        <v>0</v>
      </c>
      <c r="G2">
        <v>3</v>
      </c>
      <c r="H2">
        <v>3</v>
      </c>
      <c r="I2">
        <v>0.7</v>
      </c>
      <c r="J2">
        <v>0.7</v>
      </c>
    </row>
    <row r="3" spans="1:10" x14ac:dyDescent="0.3">
      <c r="A3" t="s">
        <v>63</v>
      </c>
      <c r="B3" t="s">
        <v>23</v>
      </c>
      <c r="C3" t="s">
        <v>8</v>
      </c>
      <c r="D3">
        <v>1</v>
      </c>
      <c r="E3">
        <v>3</v>
      </c>
      <c r="F3">
        <v>0</v>
      </c>
      <c r="G3">
        <v>3</v>
      </c>
      <c r="H3">
        <v>3</v>
      </c>
      <c r="I3">
        <v>0.7</v>
      </c>
      <c r="J3">
        <v>0.7</v>
      </c>
    </row>
    <row r="4" spans="1:10" x14ac:dyDescent="0.3">
      <c r="A4" t="s">
        <v>63</v>
      </c>
      <c r="B4" t="s">
        <v>23</v>
      </c>
      <c r="C4" t="s">
        <v>62</v>
      </c>
      <c r="D4">
        <v>1</v>
      </c>
      <c r="E4">
        <v>6</v>
      </c>
      <c r="F4">
        <v>0</v>
      </c>
      <c r="G4">
        <v>3</v>
      </c>
      <c r="H4">
        <v>3</v>
      </c>
      <c r="I4">
        <v>0.7</v>
      </c>
      <c r="J4">
        <v>0.7</v>
      </c>
    </row>
    <row r="5" spans="1:10" x14ac:dyDescent="0.3">
      <c r="A5" t="s">
        <v>65</v>
      </c>
      <c r="B5" t="s">
        <v>23</v>
      </c>
      <c r="C5" t="s">
        <v>8</v>
      </c>
      <c r="D5">
        <v>1</v>
      </c>
      <c r="E5">
        <v>5</v>
      </c>
      <c r="F5">
        <v>0</v>
      </c>
      <c r="G5">
        <v>1</v>
      </c>
      <c r="H5">
        <v>1</v>
      </c>
      <c r="I5">
        <v>0.7</v>
      </c>
      <c r="J5">
        <v>0.7</v>
      </c>
    </row>
    <row r="6" spans="1:10" x14ac:dyDescent="0.3">
      <c r="A6" t="s">
        <v>64</v>
      </c>
      <c r="B6" t="s">
        <v>21</v>
      </c>
      <c r="C6" t="s">
        <v>8</v>
      </c>
      <c r="D6">
        <v>1</v>
      </c>
      <c r="E6">
        <v>3</v>
      </c>
      <c r="F6">
        <v>0</v>
      </c>
      <c r="G6">
        <v>5</v>
      </c>
      <c r="H6">
        <v>5</v>
      </c>
      <c r="I6">
        <v>0.7</v>
      </c>
      <c r="J6">
        <v>0.7</v>
      </c>
    </row>
    <row r="7" spans="1:10" x14ac:dyDescent="0.3">
      <c r="A7" t="s">
        <v>64</v>
      </c>
      <c r="B7" t="s">
        <v>23</v>
      </c>
      <c r="C7" t="s">
        <v>62</v>
      </c>
      <c r="D7">
        <v>1</v>
      </c>
      <c r="E7">
        <v>9</v>
      </c>
      <c r="F7">
        <v>0</v>
      </c>
      <c r="G7">
        <v>5</v>
      </c>
      <c r="H7">
        <v>5</v>
      </c>
      <c r="I7">
        <v>0.7</v>
      </c>
      <c r="J7">
        <v>0.7</v>
      </c>
    </row>
    <row r="8" spans="1:10" x14ac:dyDescent="0.3">
      <c r="A8" t="s">
        <v>87</v>
      </c>
      <c r="B8" t="s">
        <v>21</v>
      </c>
      <c r="C8" t="s">
        <v>8</v>
      </c>
      <c r="D8">
        <v>1</v>
      </c>
      <c r="E8">
        <v>3</v>
      </c>
      <c r="F8">
        <v>0</v>
      </c>
      <c r="G8">
        <v>15</v>
      </c>
      <c r="H8">
        <v>15</v>
      </c>
      <c r="I8">
        <v>0.7</v>
      </c>
      <c r="J8">
        <v>0.7</v>
      </c>
    </row>
    <row r="9" spans="1:10" x14ac:dyDescent="0.3">
      <c r="A9" t="s">
        <v>87</v>
      </c>
      <c r="B9" t="s">
        <v>23</v>
      </c>
      <c r="C9" t="s">
        <v>86</v>
      </c>
      <c r="D9">
        <v>1</v>
      </c>
      <c r="E9">
        <v>3</v>
      </c>
      <c r="F9">
        <v>0</v>
      </c>
      <c r="G9">
        <v>15</v>
      </c>
      <c r="H9">
        <v>15</v>
      </c>
      <c r="I9">
        <v>0.7</v>
      </c>
      <c r="J9">
        <v>0.7</v>
      </c>
    </row>
    <row r="10" spans="1:10" x14ac:dyDescent="0.3">
      <c r="A10" t="s">
        <v>88</v>
      </c>
      <c r="B10" t="s">
        <v>21</v>
      </c>
      <c r="C10" t="s">
        <v>8</v>
      </c>
      <c r="D10">
        <v>1</v>
      </c>
      <c r="E10">
        <v>3</v>
      </c>
      <c r="F10">
        <v>0</v>
      </c>
      <c r="G10">
        <v>15</v>
      </c>
      <c r="H10">
        <v>15</v>
      </c>
      <c r="I10">
        <v>0.7</v>
      </c>
      <c r="J10">
        <v>0.7</v>
      </c>
    </row>
    <row r="11" spans="1:10" x14ac:dyDescent="0.3">
      <c r="A11" t="s">
        <v>88</v>
      </c>
      <c r="B11" t="s">
        <v>23</v>
      </c>
      <c r="C11" t="s">
        <v>86</v>
      </c>
      <c r="D11">
        <v>1</v>
      </c>
      <c r="E11">
        <v>3</v>
      </c>
      <c r="F11">
        <v>0</v>
      </c>
      <c r="G11">
        <v>15</v>
      </c>
      <c r="H11">
        <v>15</v>
      </c>
      <c r="I11">
        <v>0.7</v>
      </c>
      <c r="J11">
        <v>0.7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A25"/>
  <sheetViews>
    <sheetView workbookViewId="0">
      <selection activeCell="B5" sqref="B5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8CF0-A261-4D3A-B414-AE3BDF1136D0}">
  <dimension ref="A1:E1"/>
  <sheetViews>
    <sheetView workbookViewId="0">
      <selection activeCell="J12" sqref="J12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2" customFormat="1" x14ac:dyDescent="0.3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A5E7-5C31-4336-93EE-0293D708EE58}">
  <dimension ref="A1:C11"/>
  <sheetViews>
    <sheetView workbookViewId="0">
      <selection activeCell="D40" sqref="D40"/>
    </sheetView>
  </sheetViews>
  <sheetFormatPr defaultRowHeight="14.4" x14ac:dyDescent="0.3"/>
  <cols>
    <col min="1" max="1" width="19.33203125" style="5" customWidth="1"/>
  </cols>
  <sheetData>
    <row r="1" spans="1:3" x14ac:dyDescent="0.3">
      <c r="A1" s="2" t="s">
        <v>24</v>
      </c>
      <c r="B1" s="2"/>
      <c r="C1" s="2"/>
    </row>
    <row r="2" spans="1:3" x14ac:dyDescent="0.3">
      <c r="A2" s="5">
        <f>IF(timeseries!A2&lt;&gt;"",timeseries!A2,"")</f>
        <v>44671</v>
      </c>
    </row>
    <row r="3" spans="1:3" x14ac:dyDescent="0.3">
      <c r="A3" s="5">
        <f>IF(timeseries!A3&lt;&gt;"",timeseries!A3,"")</f>
        <v>44671.041666666664</v>
      </c>
    </row>
    <row r="4" spans="1:3" x14ac:dyDescent="0.3">
      <c r="A4" s="5">
        <f>IF(timeseries!A4&lt;&gt;"",timeseries!A4,"")</f>
        <v>44671.08333321759</v>
      </c>
    </row>
    <row r="5" spans="1:3" x14ac:dyDescent="0.3">
      <c r="A5" s="5">
        <f>IF(timeseries!A5&lt;&gt;"",timeseries!A5,"")</f>
        <v>44671.124999826388</v>
      </c>
    </row>
    <row r="6" spans="1:3" x14ac:dyDescent="0.3">
      <c r="A6" s="5">
        <f>IF(timeseries!A6&lt;&gt;"",timeseries!A6,"")</f>
        <v>44671.166666435187</v>
      </c>
    </row>
    <row r="7" spans="1:3" x14ac:dyDescent="0.3">
      <c r="A7" s="5">
        <f>IF(timeseries!A7&lt;&gt;"",timeseries!A7,"")</f>
        <v>44671.208333043978</v>
      </c>
    </row>
    <row r="8" spans="1:3" x14ac:dyDescent="0.3">
      <c r="A8" s="5">
        <f>IF(timeseries!A8&lt;&gt;"",timeseries!A8,"")</f>
        <v>44671.249999537038</v>
      </c>
    </row>
    <row r="9" spans="1:3" x14ac:dyDescent="0.3">
      <c r="A9" s="5">
        <f>IF(timeseries!A9&lt;&gt;"",timeseries!A9,"")</f>
        <v>44671.291666087964</v>
      </c>
    </row>
    <row r="10" spans="1:3" x14ac:dyDescent="0.3">
      <c r="A10" s="5">
        <f>IF(timeseries!A10&lt;&gt;"",timeseries!A10,"")</f>
        <v>44671.333332638889</v>
      </c>
    </row>
    <row r="11" spans="1:3" x14ac:dyDescent="0.3">
      <c r="A11" s="5">
        <f>IF(timeseries!A11&lt;&gt;"",timeseries!A11,"")</f>
        <v>44671.374999189815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1"/>
  <sheetViews>
    <sheetView workbookViewId="0">
      <selection activeCell="A2" sqref="A2"/>
    </sheetView>
  </sheetViews>
  <sheetFormatPr defaultRowHeight="14.4" x14ac:dyDescent="0.3"/>
  <sheetData>
    <row r="1" spans="1:2" s="2" customFormat="1" x14ac:dyDescent="0.3">
      <c r="A1" s="2" t="s">
        <v>40</v>
      </c>
      <c r="B1" s="2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L25"/>
  <sheetViews>
    <sheetView workbookViewId="0">
      <selection activeCell="D18" sqref="D18"/>
    </sheetView>
  </sheetViews>
  <sheetFormatPr defaultRowHeight="14.4" x14ac:dyDescent="0.3"/>
  <cols>
    <col min="1" max="1" width="19.33203125" style="5" customWidth="1"/>
    <col min="2" max="5" width="12.5546875" bestFit="1" customWidth="1"/>
    <col min="6" max="8" width="5.5546875" bestFit="1" customWidth="1"/>
    <col min="12" max="12" width="12.109375" bestFit="1" customWidth="1"/>
  </cols>
  <sheetData>
    <row r="1" spans="1:12" s="2" customFormat="1" x14ac:dyDescent="0.3">
      <c r="A1" s="2" t="s">
        <v>24</v>
      </c>
      <c r="B1" s="2" t="s">
        <v>66</v>
      </c>
      <c r="C1" s="2" t="s">
        <v>67</v>
      </c>
      <c r="D1" s="2" t="s">
        <v>89</v>
      </c>
    </row>
    <row r="2" spans="1:12" x14ac:dyDescent="0.3">
      <c r="A2" s="5">
        <f>IF(timeseries!A2&lt;&gt;"",timeseries!A2,"")</f>
        <v>44671</v>
      </c>
      <c r="B2">
        <v>0.8</v>
      </c>
      <c r="C2">
        <v>0.5</v>
      </c>
      <c r="D2">
        <v>0.25</v>
      </c>
      <c r="F2" s="5"/>
      <c r="L2" s="5"/>
    </row>
    <row r="3" spans="1:12" x14ac:dyDescent="0.3">
      <c r="A3" s="5">
        <f>IF(timeseries!A3&lt;&gt;"",timeseries!A3,"")</f>
        <v>44671.041666666664</v>
      </c>
      <c r="B3">
        <v>0.82400000000000007</v>
      </c>
      <c r="C3">
        <v>0.59599999999999997</v>
      </c>
      <c r="D3">
        <v>0.34899999999999998</v>
      </c>
    </row>
    <row r="4" spans="1:12" x14ac:dyDescent="0.3">
      <c r="A4" s="5">
        <f>IF(timeseries!A4&lt;&gt;"",timeseries!A4,"")</f>
        <v>44671.08333321759</v>
      </c>
      <c r="B4">
        <v>0.89700000000000002</v>
      </c>
      <c r="C4">
        <v>0.63800000000000001</v>
      </c>
      <c r="D4">
        <v>0.27899999999999997</v>
      </c>
    </row>
    <row r="5" spans="1:12" x14ac:dyDescent="0.3">
      <c r="A5" s="5">
        <f>IF(timeseries!A5&lt;&gt;"",timeseries!A5,"")</f>
        <v>44671.124999826388</v>
      </c>
      <c r="B5">
        <v>0.85899999999999999</v>
      </c>
      <c r="C5">
        <v>0.61099999999999999</v>
      </c>
      <c r="D5">
        <v>0.36299999999999999</v>
      </c>
    </row>
    <row r="6" spans="1:12" x14ac:dyDescent="0.3">
      <c r="A6" s="5">
        <f>IF(timeseries!A6&lt;&gt;"",timeseries!A6,"")</f>
        <v>44671.166666435187</v>
      </c>
      <c r="B6">
        <v>0.95899999999999996</v>
      </c>
      <c r="C6">
        <v>0.54200000000000004</v>
      </c>
      <c r="D6">
        <v>0.27600000000000002</v>
      </c>
    </row>
    <row r="7" spans="1:12" x14ac:dyDescent="0.3">
      <c r="A7" s="5">
        <f>IF(timeseries!A7&lt;&gt;"",timeseries!A7,"")</f>
        <v>44671.208333043978</v>
      </c>
      <c r="B7">
        <v>0.93399999999999994</v>
      </c>
      <c r="C7">
        <v>0.49000000000000005</v>
      </c>
      <c r="D7">
        <v>0.23500000000000001</v>
      </c>
    </row>
    <row r="8" spans="1:12" x14ac:dyDescent="0.3">
      <c r="A8" s="5">
        <f>IF(timeseries!A8&lt;&gt;"",timeseries!A8,"")</f>
        <v>44671.249999537038</v>
      </c>
      <c r="B8">
        <v>0.83699999999999997</v>
      </c>
      <c r="C8">
        <v>0.49700000000000005</v>
      </c>
      <c r="D8">
        <v>0.17500000000000002</v>
      </c>
    </row>
    <row r="9" spans="1:12" x14ac:dyDescent="0.3">
      <c r="A9" s="5">
        <f>IF(timeseries!A9&lt;&gt;"",timeseries!A9,"")</f>
        <v>44671.291666087964</v>
      </c>
      <c r="B9">
        <v>0.89999999999999991</v>
      </c>
      <c r="C9">
        <v>0.55300000000000005</v>
      </c>
      <c r="D9">
        <v>0.17600000000000002</v>
      </c>
    </row>
    <row r="10" spans="1:12" x14ac:dyDescent="0.3">
      <c r="A10" s="5">
        <f>IF(timeseries!A10&lt;&gt;"",timeseries!A10,"")</f>
        <v>44671.333332638889</v>
      </c>
      <c r="B10">
        <v>0.96</v>
      </c>
      <c r="C10">
        <v>0.53400000000000003</v>
      </c>
      <c r="D10">
        <v>0.21400000000000002</v>
      </c>
    </row>
    <row r="11" spans="1:12" x14ac:dyDescent="0.3">
      <c r="A11" s="5">
        <f>IF(timeseries!A11&lt;&gt;"",timeseries!A11,"")</f>
        <v>44671.374999189815</v>
      </c>
      <c r="B11">
        <v>0.99</v>
      </c>
      <c r="C11">
        <v>0.52700000000000002</v>
      </c>
      <c r="D11">
        <v>0.27400000000000002</v>
      </c>
    </row>
    <row r="12" spans="1:12" x14ac:dyDescent="0.3">
      <c r="A12" s="5" t="str">
        <f>IF(timeseries!A12&lt;&gt;"",timeseries!A12,"")</f>
        <v/>
      </c>
    </row>
    <row r="13" spans="1:12" x14ac:dyDescent="0.3">
      <c r="A13" s="5" t="str">
        <f>IF(timeseries!A13&lt;&gt;"",timeseries!A13,"")</f>
        <v/>
      </c>
    </row>
    <row r="14" spans="1:12" x14ac:dyDescent="0.3">
      <c r="A14" s="5" t="str">
        <f>IF(timeseries!A14&lt;&gt;"",timeseries!A14,"")</f>
        <v/>
      </c>
    </row>
    <row r="15" spans="1:12" x14ac:dyDescent="0.3">
      <c r="A15" s="5" t="str">
        <f>IF(timeseries!A15&lt;&gt;"",timeseries!A15,"")</f>
        <v/>
      </c>
    </row>
    <row r="16" spans="1:12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G25"/>
  <sheetViews>
    <sheetView workbookViewId="0">
      <selection activeCell="D19" sqref="D19"/>
    </sheetView>
  </sheetViews>
  <sheetFormatPr defaultRowHeight="14.4" x14ac:dyDescent="0.3"/>
  <cols>
    <col min="1" max="1" width="19.33203125" style="5" customWidth="1"/>
    <col min="4" max="6" width="10.44140625" customWidth="1"/>
    <col min="7" max="7" width="10.44140625" style="1" customWidth="1"/>
  </cols>
  <sheetData>
    <row r="1" spans="1:7" s="2" customFormat="1" x14ac:dyDescent="0.3">
      <c r="A1" s="2" t="s">
        <v>24</v>
      </c>
      <c r="B1" s="2" t="s">
        <v>68</v>
      </c>
      <c r="C1" s="2" t="s">
        <v>69</v>
      </c>
      <c r="D1" s="2" t="s">
        <v>90</v>
      </c>
    </row>
    <row r="2" spans="1:7" x14ac:dyDescent="0.3">
      <c r="A2" s="5">
        <f>IF(timeseries!A2&lt;&gt;"",timeseries!A2,"")</f>
        <v>44671</v>
      </c>
      <c r="B2">
        <v>-7.34</v>
      </c>
      <c r="C2">
        <v>-5.72</v>
      </c>
      <c r="D2">
        <v>-7.84</v>
      </c>
      <c r="G2"/>
    </row>
    <row r="3" spans="1:7" x14ac:dyDescent="0.3">
      <c r="A3" s="5">
        <f>IF(timeseries!A3&lt;&gt;"",timeseries!A3,"")</f>
        <v>44671.041666666664</v>
      </c>
      <c r="B3">
        <v>-6.65</v>
      </c>
      <c r="C3">
        <v>-5.62</v>
      </c>
      <c r="D3">
        <v>-7.07</v>
      </c>
      <c r="G3"/>
    </row>
    <row r="4" spans="1:7" x14ac:dyDescent="0.3">
      <c r="A4" s="5">
        <f>IF(timeseries!A4&lt;&gt;"",timeseries!A4,"")</f>
        <v>44671.08333321759</v>
      </c>
      <c r="B4">
        <v>-6.17</v>
      </c>
      <c r="C4">
        <v>-4.7</v>
      </c>
      <c r="D4">
        <v>-6.73</v>
      </c>
      <c r="G4"/>
    </row>
    <row r="5" spans="1:7" x14ac:dyDescent="0.3">
      <c r="A5" s="5">
        <f>IF(timeseries!A5&lt;&gt;"",timeseries!A5,"")</f>
        <v>44671.124999826388</v>
      </c>
      <c r="B5">
        <v>-6.18</v>
      </c>
      <c r="C5">
        <v>-4.0600000000000005</v>
      </c>
      <c r="D5">
        <v>-6.65</v>
      </c>
      <c r="G5"/>
    </row>
    <row r="6" spans="1:7" x14ac:dyDescent="0.3">
      <c r="A6" s="5">
        <f>IF(timeseries!A6&lt;&gt;"",timeseries!A6,"")</f>
        <v>44671.166666435187</v>
      </c>
      <c r="B6">
        <v>-5.9899999999999993</v>
      </c>
      <c r="C6">
        <v>-4.32</v>
      </c>
      <c r="D6">
        <v>-7.08</v>
      </c>
      <c r="G6"/>
    </row>
    <row r="7" spans="1:7" x14ac:dyDescent="0.3">
      <c r="A7" s="5">
        <f>IF(timeseries!A7&lt;&gt;"",timeseries!A7,"")</f>
        <v>44671.208333043978</v>
      </c>
      <c r="B7">
        <v>-5.31</v>
      </c>
      <c r="C7">
        <v>-3.7800000000000002</v>
      </c>
      <c r="D7">
        <v>-6.79</v>
      </c>
      <c r="G7"/>
    </row>
    <row r="8" spans="1:7" x14ac:dyDescent="0.3">
      <c r="A8" s="5">
        <f>IF(timeseries!A8&lt;&gt;"",timeseries!A8,"")</f>
        <v>44671.249999537038</v>
      </c>
      <c r="B8">
        <v>-6.1099999999999994</v>
      </c>
      <c r="C8">
        <v>-4.41</v>
      </c>
      <c r="D8">
        <v>-7.13</v>
      </c>
      <c r="G8"/>
    </row>
    <row r="9" spans="1:7" x14ac:dyDescent="0.3">
      <c r="A9" s="5">
        <f>IF(timeseries!A9&lt;&gt;"",timeseries!A9,"")</f>
        <v>44671.291666087964</v>
      </c>
      <c r="B9">
        <v>-5.8</v>
      </c>
      <c r="C9">
        <v>-3.98</v>
      </c>
      <c r="D9">
        <v>-7.41</v>
      </c>
      <c r="G9"/>
    </row>
    <row r="10" spans="1:7" x14ac:dyDescent="0.3">
      <c r="A10" s="5">
        <f>IF(timeseries!A10&lt;&gt;"",timeseries!A10,"")</f>
        <v>44671.333332638889</v>
      </c>
      <c r="B10">
        <v>-4.8999999999999995</v>
      </c>
      <c r="C10">
        <v>-3.51</v>
      </c>
      <c r="D10">
        <v>-7.2700000000000005</v>
      </c>
      <c r="G10"/>
    </row>
    <row r="11" spans="1:7" x14ac:dyDescent="0.3">
      <c r="A11" s="5">
        <f>IF(timeseries!A11&lt;&gt;"",timeseries!A11,"")</f>
        <v>44671.374999189815</v>
      </c>
      <c r="B11">
        <v>-5.7299999999999995</v>
      </c>
      <c r="C11">
        <v>-3.11</v>
      </c>
      <c r="D11">
        <v>-7.7</v>
      </c>
      <c r="G11"/>
    </row>
    <row r="12" spans="1:7" x14ac:dyDescent="0.3">
      <c r="A12" s="5" t="str">
        <f>IF(timeseries!A12&lt;&gt;"",timeseries!A12,"")</f>
        <v/>
      </c>
      <c r="G12"/>
    </row>
    <row r="13" spans="1:7" x14ac:dyDescent="0.3">
      <c r="A13" s="5" t="str">
        <f>IF(timeseries!A13&lt;&gt;"",timeseries!A13,"")</f>
        <v/>
      </c>
      <c r="G13"/>
    </row>
    <row r="14" spans="1:7" x14ac:dyDescent="0.3">
      <c r="A14" s="5" t="str">
        <f>IF(timeseries!A14&lt;&gt;"",timeseries!A14,"")</f>
        <v/>
      </c>
      <c r="G14"/>
    </row>
    <row r="15" spans="1:7" x14ac:dyDescent="0.3">
      <c r="A15" s="5" t="str">
        <f>IF(timeseries!A15&lt;&gt;"",timeseries!A15,"")</f>
        <v/>
      </c>
      <c r="G15"/>
    </row>
    <row r="16" spans="1:7" x14ac:dyDescent="0.3">
      <c r="A16" s="5" t="str">
        <f>IF(timeseries!A16&lt;&gt;"",timeseries!A16,"")</f>
        <v/>
      </c>
      <c r="G16"/>
    </row>
    <row r="17" spans="1:7" x14ac:dyDescent="0.3">
      <c r="A17" s="5" t="str">
        <f>IF(timeseries!A17&lt;&gt;"",timeseries!A17,"")</f>
        <v/>
      </c>
      <c r="G17"/>
    </row>
    <row r="18" spans="1:7" x14ac:dyDescent="0.3">
      <c r="A18" s="5" t="str">
        <f>IF(timeseries!A18&lt;&gt;"",timeseries!A18,"")</f>
        <v/>
      </c>
      <c r="G18"/>
    </row>
    <row r="19" spans="1:7" x14ac:dyDescent="0.3">
      <c r="A19" s="5" t="str">
        <f>IF(timeseries!A19&lt;&gt;"",timeseries!A19,"")</f>
        <v/>
      </c>
      <c r="G19"/>
    </row>
    <row r="20" spans="1:7" x14ac:dyDescent="0.3">
      <c r="A20" s="5" t="str">
        <f>IF(timeseries!A20&lt;&gt;"",timeseries!A20,"")</f>
        <v/>
      </c>
      <c r="G20"/>
    </row>
    <row r="21" spans="1:7" x14ac:dyDescent="0.3">
      <c r="A21" s="5" t="str">
        <f>IF(timeseries!A21&lt;&gt;"",timeseries!A21,"")</f>
        <v/>
      </c>
      <c r="G21"/>
    </row>
    <row r="22" spans="1:7" x14ac:dyDescent="0.3">
      <c r="A22" s="5" t="str">
        <f>IF(timeseries!A22&lt;&gt;"",timeseries!A22,"")</f>
        <v/>
      </c>
      <c r="G22"/>
    </row>
    <row r="23" spans="1:7" x14ac:dyDescent="0.3">
      <c r="A23" s="5" t="str">
        <f>IF(timeseries!A23&lt;&gt;"",timeseries!A23,"")</f>
        <v/>
      </c>
      <c r="G23"/>
    </row>
    <row r="24" spans="1:7" x14ac:dyDescent="0.3">
      <c r="A24" s="5" t="str">
        <f>IF(timeseries!A24&lt;&gt;"",timeseries!A24,"")</f>
        <v/>
      </c>
      <c r="G24"/>
    </row>
    <row r="25" spans="1:7" x14ac:dyDescent="0.3">
      <c r="A25" s="5" t="str">
        <f>IF(timeseries!A25&lt;&gt;"",timeseries!A25,"")</f>
        <v/>
      </c>
      <c r="G2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96C9-CA4B-4735-AF1E-65BD86DB3657}">
  <dimension ref="A1:F17"/>
  <sheetViews>
    <sheetView workbookViewId="0">
      <selection activeCell="C12" sqref="C12"/>
    </sheetView>
  </sheetViews>
  <sheetFormatPr defaultRowHeight="14.4" x14ac:dyDescent="0.3"/>
  <cols>
    <col min="3" max="6" width="13.33203125" bestFit="1" customWidth="1"/>
    <col min="7" max="7" width="13.6640625" customWidth="1"/>
  </cols>
  <sheetData>
    <row r="1" spans="1:6" x14ac:dyDescent="0.3">
      <c r="A1" t="s">
        <v>24</v>
      </c>
    </row>
    <row r="2" spans="1:6" x14ac:dyDescent="0.3">
      <c r="A2">
        <v>1</v>
      </c>
      <c r="C2" s="5"/>
      <c r="E2" s="5"/>
    </row>
    <row r="3" spans="1:6" x14ac:dyDescent="0.3">
      <c r="A3">
        <v>2</v>
      </c>
      <c r="C3" s="5"/>
      <c r="E3" s="5"/>
    </row>
    <row r="4" spans="1:6" x14ac:dyDescent="0.3">
      <c r="A4">
        <v>3</v>
      </c>
      <c r="C4" s="5"/>
      <c r="E4" s="5"/>
    </row>
    <row r="5" spans="1:6" x14ac:dyDescent="0.3">
      <c r="A5">
        <v>4</v>
      </c>
      <c r="C5" s="5"/>
      <c r="E5" s="5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5"/>
      <c r="D15" s="5"/>
      <c r="E15" s="5"/>
      <c r="F15" s="5"/>
    </row>
    <row r="17" spans="3:6" x14ac:dyDescent="0.3">
      <c r="C17" s="5"/>
      <c r="D17" s="5"/>
      <c r="E17" s="5"/>
      <c r="F17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8023-527F-4386-8A27-2EF08439356E}">
  <dimension ref="A1:F1"/>
  <sheetViews>
    <sheetView tabSelected="1" workbookViewId="0">
      <selection activeCell="D8" sqref="D8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126</v>
      </c>
      <c r="B1" t="s">
        <v>0</v>
      </c>
      <c r="C1" t="s">
        <v>127</v>
      </c>
      <c r="D1" t="s">
        <v>128</v>
      </c>
      <c r="E1" t="s">
        <v>129</v>
      </c>
      <c r="F1" t="s">
        <v>130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25"/>
  <sheetViews>
    <sheetView workbookViewId="0">
      <selection activeCell="B2" sqref="B2"/>
    </sheetView>
  </sheetViews>
  <sheetFormatPr defaultRowHeight="14.4" x14ac:dyDescent="0.3"/>
  <cols>
    <col min="1" max="1" width="19.33203125" style="5" customWidth="1"/>
  </cols>
  <sheetData>
    <row r="1" spans="1:2" s="2" customFormat="1" x14ac:dyDescent="0.3">
      <c r="A1" s="2" t="s">
        <v>24</v>
      </c>
      <c r="B1" s="2" t="s">
        <v>99</v>
      </c>
    </row>
    <row r="2" spans="1:2" x14ac:dyDescent="0.3">
      <c r="A2" s="5">
        <f>IF(timeseries!A2&lt;&gt;"",timeseries!A2,"")</f>
        <v>44671</v>
      </c>
      <c r="B2">
        <v>10</v>
      </c>
    </row>
    <row r="3" spans="1:2" x14ac:dyDescent="0.3">
      <c r="A3" s="5">
        <f>IF(timeseries!A3&lt;&gt;"",timeseries!A3,"")</f>
        <v>44671.041666666664</v>
      </c>
      <c r="B3">
        <v>10</v>
      </c>
    </row>
    <row r="4" spans="1:2" x14ac:dyDescent="0.3">
      <c r="A4" s="5">
        <f>IF(timeseries!A4&lt;&gt;"",timeseries!A4,"")</f>
        <v>44671.08333321759</v>
      </c>
      <c r="B4">
        <v>10</v>
      </c>
    </row>
    <row r="5" spans="1:2" x14ac:dyDescent="0.3">
      <c r="A5" s="5">
        <f>IF(timeseries!A5&lt;&gt;"",timeseries!A5,"")</f>
        <v>44671.124999826388</v>
      </c>
      <c r="B5">
        <v>10</v>
      </c>
    </row>
    <row r="6" spans="1:2" x14ac:dyDescent="0.3">
      <c r="A6" s="5">
        <f>IF(timeseries!A6&lt;&gt;"",timeseries!A6,"")</f>
        <v>44671.166666435187</v>
      </c>
      <c r="B6">
        <v>10</v>
      </c>
    </row>
    <row r="7" spans="1:2" x14ac:dyDescent="0.3">
      <c r="A7" s="5">
        <f>IF(timeseries!A7&lt;&gt;"",timeseries!A7,"")</f>
        <v>44671.208333043978</v>
      </c>
      <c r="B7">
        <v>10</v>
      </c>
    </row>
    <row r="8" spans="1:2" x14ac:dyDescent="0.3">
      <c r="A8" s="5">
        <f>IF(timeseries!A8&lt;&gt;"",timeseries!A8,"")</f>
        <v>44671.249999537038</v>
      </c>
      <c r="B8">
        <v>10</v>
      </c>
    </row>
    <row r="9" spans="1:2" x14ac:dyDescent="0.3">
      <c r="A9" s="5">
        <f>IF(timeseries!A9&lt;&gt;"",timeseries!A9,"")</f>
        <v>44671.291666087964</v>
      </c>
      <c r="B9">
        <v>10</v>
      </c>
    </row>
    <row r="10" spans="1:2" x14ac:dyDescent="0.3">
      <c r="A10" s="5">
        <f>IF(timeseries!A10&lt;&gt;"",timeseries!A10,"")</f>
        <v>44671.333332638889</v>
      </c>
      <c r="B10">
        <v>10</v>
      </c>
    </row>
    <row r="11" spans="1:2" x14ac:dyDescent="0.3">
      <c r="A11" s="5">
        <f>IF(timeseries!A11&lt;&gt;"",timeseries!A11,"")</f>
        <v>44671.374999189815</v>
      </c>
      <c r="B11">
        <v>10</v>
      </c>
    </row>
    <row r="12" spans="1:2" x14ac:dyDescent="0.3">
      <c r="A12" s="5" t="str">
        <f>IF(timeseries!A12&lt;&gt;"",timeseries!A12,"")</f>
        <v/>
      </c>
    </row>
    <row r="13" spans="1:2" x14ac:dyDescent="0.3">
      <c r="A13" s="5" t="str">
        <f>IF(timeseries!A13&lt;&gt;"",timeseries!A13,"")</f>
        <v/>
      </c>
    </row>
    <row r="14" spans="1:2" x14ac:dyDescent="0.3">
      <c r="A14" s="5" t="str">
        <f>IF(timeseries!A14&lt;&gt;"",timeseries!A14,"")</f>
        <v/>
      </c>
    </row>
    <row r="15" spans="1:2" x14ac:dyDescent="0.3">
      <c r="A15" s="5" t="str">
        <f>IF(timeseries!A15&lt;&gt;"",timeseries!A15,"")</f>
        <v/>
      </c>
    </row>
    <row r="16" spans="1:2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L5"/>
  <sheetViews>
    <sheetView workbookViewId="0">
      <selection activeCell="B2" sqref="B2"/>
    </sheetView>
  </sheetViews>
  <sheetFormatPr defaultColWidth="9.109375" defaultRowHeight="14.4" x14ac:dyDescent="0.3"/>
  <cols>
    <col min="1" max="1" width="11" style="4" bestFit="1" customWidth="1"/>
    <col min="2" max="2" width="7.6640625" style="4" bestFit="1" customWidth="1"/>
    <col min="3" max="3" width="5.5546875" style="4" bestFit="1" customWidth="1"/>
    <col min="4" max="4" width="12.88671875" style="4" bestFit="1" customWidth="1"/>
    <col min="5" max="5" width="9.33203125" style="4" bestFit="1" customWidth="1"/>
    <col min="6" max="6" width="10.44140625" style="4" bestFit="1" customWidth="1"/>
    <col min="7" max="7" width="12.6640625" style="4" bestFit="1" customWidth="1"/>
    <col min="8" max="16384" width="9.109375" style="4"/>
  </cols>
  <sheetData>
    <row r="1" spans="1:12" s="2" customFormat="1" x14ac:dyDescent="0.3">
      <c r="A1" s="2" t="s">
        <v>25</v>
      </c>
      <c r="B1" s="2" t="s">
        <v>122</v>
      </c>
      <c r="C1" s="2" t="s">
        <v>0</v>
      </c>
      <c r="D1" s="2" t="s">
        <v>84</v>
      </c>
      <c r="E1" s="2" t="s">
        <v>29</v>
      </c>
      <c r="F1" s="3" t="s">
        <v>36</v>
      </c>
      <c r="G1" s="2" t="s">
        <v>40</v>
      </c>
      <c r="H1" s="2" t="s">
        <v>48</v>
      </c>
      <c r="I1" s="2" t="s">
        <v>78</v>
      </c>
      <c r="J1" s="2" t="s">
        <v>79</v>
      </c>
      <c r="K1" s="2" t="s">
        <v>80</v>
      </c>
      <c r="L1" s="2" t="s">
        <v>81</v>
      </c>
    </row>
    <row r="2" spans="1:12" x14ac:dyDescent="0.3">
      <c r="A2" s="4" t="s">
        <v>10</v>
      </c>
      <c r="B2" s="4" t="s">
        <v>28</v>
      </c>
      <c r="C2" s="4" t="s">
        <v>8</v>
      </c>
      <c r="D2" s="4" t="s">
        <v>91</v>
      </c>
      <c r="E2" s="4" t="s">
        <v>30</v>
      </c>
      <c r="F2" s="4">
        <v>0</v>
      </c>
      <c r="G2" s="4" t="s">
        <v>30</v>
      </c>
      <c r="H2" s="4">
        <v>1</v>
      </c>
      <c r="I2">
        <v>0</v>
      </c>
      <c r="J2" s="4">
        <v>0</v>
      </c>
      <c r="K2" s="4">
        <v>0</v>
      </c>
      <c r="L2" s="4">
        <v>0</v>
      </c>
    </row>
    <row r="3" spans="1:12" x14ac:dyDescent="0.3">
      <c r="I3"/>
    </row>
    <row r="4" spans="1:12" x14ac:dyDescent="0.3">
      <c r="I4"/>
    </row>
    <row r="5" spans="1:12" x14ac:dyDescent="0.3">
      <c r="I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313E-0921-4847-B147-12B3359B7405}">
  <dimension ref="A1:A11"/>
  <sheetViews>
    <sheetView workbookViewId="0">
      <selection sqref="A1:A1048576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66E0-7523-413E-8B0C-F3E2413808A5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5" customWidth="1"/>
    <col min="2" max="3" width="6.554687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D11"/>
  <sheetViews>
    <sheetView zoomScale="85" zoomScaleNormal="85" workbookViewId="0">
      <selection sqref="A1:A1048576"/>
    </sheetView>
  </sheetViews>
  <sheetFormatPr defaultRowHeight="14.4" x14ac:dyDescent="0.3"/>
  <cols>
    <col min="1" max="1" width="19.33203125" style="5" customWidth="1"/>
    <col min="2" max="6" width="11.44140625" customWidth="1"/>
    <col min="7" max="14" width="11.109375" customWidth="1"/>
  </cols>
  <sheetData>
    <row r="1" spans="1:4" s="2" customFormat="1" x14ac:dyDescent="0.3">
      <c r="A1" s="2" t="s">
        <v>24</v>
      </c>
      <c r="B1" s="2" t="s">
        <v>56</v>
      </c>
      <c r="C1" s="2" t="s">
        <v>57</v>
      </c>
      <c r="D1" s="2" t="s">
        <v>92</v>
      </c>
    </row>
    <row r="2" spans="1:4" x14ac:dyDescent="0.3">
      <c r="A2" s="5">
        <f>IF(timeseries!A2&lt;&gt;"",timeseries!A2,"")</f>
        <v>44671</v>
      </c>
      <c r="B2">
        <v>16.12</v>
      </c>
      <c r="C2">
        <v>15.72</v>
      </c>
      <c r="D2">
        <v>8.98</v>
      </c>
    </row>
    <row r="3" spans="1:4" x14ac:dyDescent="0.3">
      <c r="A3" s="5">
        <f>IF(timeseries!A3&lt;&gt;"",timeseries!A3,"")</f>
        <v>44671.041666666664</v>
      </c>
      <c r="B3">
        <v>23.68</v>
      </c>
      <c r="C3">
        <v>7.11</v>
      </c>
      <c r="D3">
        <v>4.4800000000000004</v>
      </c>
    </row>
    <row r="4" spans="1:4" x14ac:dyDescent="0.3">
      <c r="A4" s="5">
        <f>IF(timeseries!A4&lt;&gt;"",timeseries!A4,"")</f>
        <v>44671.08333321759</v>
      </c>
      <c r="B4">
        <v>64.53</v>
      </c>
      <c r="C4">
        <v>36.51</v>
      </c>
      <c r="D4">
        <v>25.19</v>
      </c>
    </row>
    <row r="5" spans="1:4" x14ac:dyDescent="0.3">
      <c r="A5" s="5">
        <f>IF(timeseries!A5&lt;&gt;"",timeseries!A5,"")</f>
        <v>44671.124999826388</v>
      </c>
      <c r="B5">
        <v>43.86</v>
      </c>
      <c r="C5">
        <v>28.26</v>
      </c>
      <c r="D5">
        <v>19.100000000000001</v>
      </c>
    </row>
    <row r="6" spans="1:4" x14ac:dyDescent="0.3">
      <c r="A6" s="5">
        <f>IF(timeseries!A6&lt;&gt;"",timeseries!A6,"")</f>
        <v>44671.166666435187</v>
      </c>
      <c r="B6">
        <v>64.95</v>
      </c>
      <c r="C6">
        <v>47.09</v>
      </c>
      <c r="D6">
        <v>25.81</v>
      </c>
    </row>
    <row r="7" spans="1:4" x14ac:dyDescent="0.3">
      <c r="A7" s="5">
        <f>IF(timeseries!A7&lt;&gt;"",timeseries!A7,"")</f>
        <v>44671.208333043978</v>
      </c>
      <c r="B7">
        <v>85.16</v>
      </c>
      <c r="C7">
        <v>33.479999999999997</v>
      </c>
      <c r="D7">
        <v>23.67</v>
      </c>
    </row>
    <row r="8" spans="1:4" x14ac:dyDescent="0.3">
      <c r="A8" s="5">
        <f>IF(timeseries!A8&lt;&gt;"",timeseries!A8,"")</f>
        <v>44671.249999537038</v>
      </c>
      <c r="B8">
        <v>141.19</v>
      </c>
      <c r="C8">
        <v>68.42</v>
      </c>
      <c r="D8">
        <v>50.43</v>
      </c>
    </row>
    <row r="9" spans="1:4" x14ac:dyDescent="0.3">
      <c r="A9" s="5">
        <f>IF(timeseries!A9&lt;&gt;"",timeseries!A9,"")</f>
        <v>44671.291666087964</v>
      </c>
      <c r="B9">
        <v>72.239999999999995</v>
      </c>
      <c r="C9">
        <v>64.709999999999994</v>
      </c>
      <c r="D9">
        <v>36.69</v>
      </c>
    </row>
    <row r="10" spans="1:4" x14ac:dyDescent="0.3">
      <c r="A10" s="5">
        <f>IF(timeseries!A10&lt;&gt;"",timeseries!A10,"")</f>
        <v>44671.333332638889</v>
      </c>
      <c r="B10">
        <v>31.92</v>
      </c>
      <c r="C10">
        <v>9.58</v>
      </c>
      <c r="D10">
        <v>6.36</v>
      </c>
    </row>
    <row r="11" spans="1:4" x14ac:dyDescent="0.3">
      <c r="A11" s="5">
        <f>IF(timeseries!A11&lt;&gt;"",timeseries!A11,"")</f>
        <v>44671.374999189815</v>
      </c>
      <c r="B11">
        <v>11.35</v>
      </c>
      <c r="C11">
        <v>23.67</v>
      </c>
      <c r="D11">
        <v>14.89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H25"/>
  <sheetViews>
    <sheetView workbookViewId="0">
      <selection activeCell="G2" sqref="G2"/>
    </sheetView>
  </sheetViews>
  <sheetFormatPr defaultRowHeight="14.4" x14ac:dyDescent="0.3"/>
  <cols>
    <col min="1" max="1" width="14.33203125" bestFit="1" customWidth="1"/>
    <col min="2" max="3" width="9.6640625" bestFit="1" customWidth="1"/>
    <col min="4" max="4" width="9.6640625" customWidth="1"/>
    <col min="5" max="6" width="10.109375" bestFit="1" customWidth="1"/>
  </cols>
  <sheetData>
    <row r="1" spans="1:8" x14ac:dyDescent="0.3">
      <c r="A1" s="2" t="s">
        <v>24</v>
      </c>
      <c r="B1" s="2" t="s">
        <v>52</v>
      </c>
      <c r="C1" s="2" t="s">
        <v>53</v>
      </c>
      <c r="D1" s="2" t="s">
        <v>94</v>
      </c>
      <c r="E1" s="2" t="s">
        <v>54</v>
      </c>
      <c r="F1" s="2" t="s">
        <v>55</v>
      </c>
      <c r="G1" s="2" t="s">
        <v>93</v>
      </c>
      <c r="H1" s="2"/>
    </row>
    <row r="2" spans="1:8" x14ac:dyDescent="0.3">
      <c r="A2" s="5">
        <f>IF(timeseries!A2&lt;&gt;"",timeseries!A2,"")</f>
        <v>44671</v>
      </c>
      <c r="B2">
        <f>1.05*market_prices!B2</f>
        <v>16.926000000000002</v>
      </c>
      <c r="C2">
        <f>1.05*market_prices!C2</f>
        <v>16.506</v>
      </c>
      <c r="D2">
        <f>1.05*market_prices!D2</f>
        <v>9.4290000000000003</v>
      </c>
      <c r="E2">
        <f>0.95*market_prices!B2</f>
        <v>15.314</v>
      </c>
      <c r="F2">
        <f>0.95*market_prices!C2</f>
        <v>14.933999999999999</v>
      </c>
      <c r="G2">
        <f>0.95*market_prices!D2</f>
        <v>8.5310000000000006</v>
      </c>
    </row>
    <row r="3" spans="1:8" x14ac:dyDescent="0.3">
      <c r="A3" s="5">
        <f>IF(timeseries!A3&lt;&gt;"",timeseries!A3,"")</f>
        <v>44671.041666666664</v>
      </c>
      <c r="B3">
        <f>1.05*market_prices!B3</f>
        <v>24.864000000000001</v>
      </c>
      <c r="C3">
        <f>1.05*market_prices!C3</f>
        <v>7.4655000000000005</v>
      </c>
      <c r="D3">
        <f>1.05*market_prices!D3</f>
        <v>4.7040000000000006</v>
      </c>
      <c r="E3">
        <f>0.95*market_prices!B3</f>
        <v>22.495999999999999</v>
      </c>
      <c r="F3">
        <f>0.95*market_prices!C3</f>
        <v>6.7545000000000002</v>
      </c>
      <c r="G3">
        <f>0.95*market_prices!D3</f>
        <v>4.2560000000000002</v>
      </c>
    </row>
    <row r="4" spans="1:8" x14ac:dyDescent="0.3">
      <c r="A4" s="5">
        <f>IF(timeseries!A4&lt;&gt;"",timeseries!A4,"")</f>
        <v>44671.08333321759</v>
      </c>
      <c r="B4">
        <f>1.05*market_prices!B4</f>
        <v>67.756500000000003</v>
      </c>
      <c r="C4">
        <f>1.05*market_prices!C4</f>
        <v>38.335499999999996</v>
      </c>
      <c r="D4">
        <f>1.05*market_prices!D4</f>
        <v>26.449500000000004</v>
      </c>
      <c r="E4">
        <f>0.95*market_prices!B4</f>
        <v>61.3035</v>
      </c>
      <c r="F4">
        <f>0.95*market_prices!C4</f>
        <v>34.6845</v>
      </c>
      <c r="G4">
        <f>0.95*market_prices!D4</f>
        <v>23.930499999999999</v>
      </c>
    </row>
    <row r="5" spans="1:8" x14ac:dyDescent="0.3">
      <c r="A5" s="5">
        <f>IF(timeseries!A5&lt;&gt;"",timeseries!A5,"")</f>
        <v>44671.124999826388</v>
      </c>
      <c r="B5">
        <f>1.05*market_prices!B5</f>
        <v>46.053000000000004</v>
      </c>
      <c r="C5">
        <f>1.05*market_prices!C5</f>
        <v>29.673000000000002</v>
      </c>
      <c r="D5">
        <f>1.05*market_prices!D5</f>
        <v>20.055000000000003</v>
      </c>
      <c r="E5">
        <f>0.95*market_prices!B5</f>
        <v>41.666999999999994</v>
      </c>
      <c r="F5">
        <f>0.95*market_prices!C5</f>
        <v>26.847000000000001</v>
      </c>
      <c r="G5">
        <f>0.95*market_prices!D5</f>
        <v>18.145</v>
      </c>
    </row>
    <row r="6" spans="1:8" x14ac:dyDescent="0.3">
      <c r="A6" s="5">
        <f>IF(timeseries!A6&lt;&gt;"",timeseries!A6,"")</f>
        <v>44671.166666435187</v>
      </c>
      <c r="B6">
        <f>1.05*market_prices!B6</f>
        <v>68.197500000000005</v>
      </c>
      <c r="C6">
        <f>1.05*market_prices!C6</f>
        <v>49.444500000000005</v>
      </c>
      <c r="D6">
        <f>1.05*market_prices!D6</f>
        <v>27.1005</v>
      </c>
      <c r="E6">
        <f>0.95*market_prices!B6</f>
        <v>61.702500000000001</v>
      </c>
      <c r="F6">
        <f>0.95*market_prices!C6</f>
        <v>44.735500000000002</v>
      </c>
      <c r="G6">
        <f>0.95*market_prices!D6</f>
        <v>24.519499999999997</v>
      </c>
    </row>
    <row r="7" spans="1:8" x14ac:dyDescent="0.3">
      <c r="A7" s="5">
        <f>IF(timeseries!A7&lt;&gt;"",timeseries!A7,"")</f>
        <v>44671.208333043978</v>
      </c>
      <c r="B7">
        <f>1.05*market_prices!B7</f>
        <v>89.418000000000006</v>
      </c>
      <c r="C7">
        <f>1.05*market_prices!C7</f>
        <v>35.153999999999996</v>
      </c>
      <c r="D7">
        <f>1.05*market_prices!D7</f>
        <v>24.853500000000004</v>
      </c>
      <c r="E7">
        <f>0.95*market_prices!B7</f>
        <v>80.901999999999987</v>
      </c>
      <c r="F7">
        <f>0.95*market_prices!C7</f>
        <v>31.805999999999994</v>
      </c>
      <c r="G7">
        <f>0.95*market_prices!D7</f>
        <v>22.486499999999999</v>
      </c>
    </row>
    <row r="8" spans="1:8" x14ac:dyDescent="0.3">
      <c r="A8" s="5">
        <f>IF(timeseries!A8&lt;&gt;"",timeseries!A8,"")</f>
        <v>44671.249999537038</v>
      </c>
      <c r="B8">
        <f>1.05*market_prices!B8</f>
        <v>148.24950000000001</v>
      </c>
      <c r="C8">
        <f>1.05*market_prices!C8</f>
        <v>71.841000000000008</v>
      </c>
      <c r="D8">
        <f>1.05*market_prices!D8</f>
        <v>52.951500000000003</v>
      </c>
      <c r="E8">
        <f>0.95*market_prices!B8</f>
        <v>134.13049999999998</v>
      </c>
      <c r="F8">
        <f>0.95*market_prices!C8</f>
        <v>64.998999999999995</v>
      </c>
      <c r="G8">
        <f>0.95*market_prices!D8</f>
        <v>47.908499999999997</v>
      </c>
    </row>
    <row r="9" spans="1:8" x14ac:dyDescent="0.3">
      <c r="A9" s="5">
        <f>IF(timeseries!A9&lt;&gt;"",timeseries!A9,"")</f>
        <v>44671.291666087964</v>
      </c>
      <c r="B9">
        <f>1.05*market_prices!B9</f>
        <v>75.852000000000004</v>
      </c>
      <c r="C9">
        <f>1.05*market_prices!C9</f>
        <v>67.945499999999996</v>
      </c>
      <c r="D9">
        <f>1.05*market_prices!D9</f>
        <v>38.524499999999996</v>
      </c>
      <c r="E9">
        <f>0.95*market_prices!B9</f>
        <v>68.627999999999986</v>
      </c>
      <c r="F9">
        <f>0.95*market_prices!C9</f>
        <v>61.474499999999992</v>
      </c>
      <c r="G9">
        <f>0.95*market_prices!D9</f>
        <v>34.855499999999999</v>
      </c>
    </row>
    <row r="10" spans="1:8" x14ac:dyDescent="0.3">
      <c r="A10" s="5">
        <f>IF(timeseries!A10&lt;&gt;"",timeseries!A10,"")</f>
        <v>44671.333332638889</v>
      </c>
      <c r="B10">
        <f>1.05*market_prices!B10</f>
        <v>33.516000000000005</v>
      </c>
      <c r="C10">
        <f>1.05*market_prices!C10</f>
        <v>10.059000000000001</v>
      </c>
      <c r="D10">
        <f>1.05*market_prices!D10</f>
        <v>6.6780000000000008</v>
      </c>
      <c r="E10">
        <f>0.95*market_prices!B10</f>
        <v>30.324000000000002</v>
      </c>
      <c r="F10">
        <f>0.95*market_prices!C10</f>
        <v>9.1009999999999991</v>
      </c>
      <c r="G10">
        <f>0.95*market_prices!D10</f>
        <v>6.0419999999999998</v>
      </c>
    </row>
    <row r="11" spans="1:8" x14ac:dyDescent="0.3">
      <c r="A11" s="5">
        <f>IF(timeseries!A11&lt;&gt;"",timeseries!A11,"")</f>
        <v>44671.374999189815</v>
      </c>
      <c r="B11">
        <f>1.05*market_prices!B11</f>
        <v>11.9175</v>
      </c>
      <c r="C11">
        <f>1.05*market_prices!C11</f>
        <v>24.853500000000004</v>
      </c>
      <c r="D11">
        <f>1.05*market_prices!D11</f>
        <v>15.634500000000001</v>
      </c>
      <c r="E11">
        <f>0.95*market_prices!B11</f>
        <v>10.782499999999999</v>
      </c>
      <c r="F11">
        <f>0.95*market_prices!C11</f>
        <v>22.486499999999999</v>
      </c>
      <c r="G11">
        <f>0.95*market_prices!D11</f>
        <v>14.1455</v>
      </c>
    </row>
    <row r="12" spans="1:8" x14ac:dyDescent="0.3">
      <c r="A12" s="5"/>
    </row>
    <row r="13" spans="1:8" x14ac:dyDescent="0.3">
      <c r="A13" s="5"/>
      <c r="B13" s="2"/>
      <c r="C13" s="2"/>
      <c r="D13" s="2"/>
      <c r="E13" s="2"/>
      <c r="F13" s="2"/>
    </row>
    <row r="14" spans="1:8" x14ac:dyDescent="0.3">
      <c r="A14" s="5"/>
    </row>
    <row r="15" spans="1:8" x14ac:dyDescent="0.3">
      <c r="A15" s="5"/>
    </row>
    <row r="16" spans="1:8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E100-F2EF-4A65-A77F-7D1B321EA2D7}">
  <dimension ref="A1:BA25"/>
  <sheetViews>
    <sheetView workbookViewId="0">
      <selection activeCell="C8" sqref="C8"/>
    </sheetView>
  </sheetViews>
  <sheetFormatPr defaultRowHeight="14.4" x14ac:dyDescent="0.3"/>
  <cols>
    <col min="1" max="1" width="19.33203125" style="5" customWidth="1"/>
  </cols>
  <sheetData>
    <row r="1" spans="1:53" s="2" customFormat="1" x14ac:dyDescent="0.3">
      <c r="A1" s="2" t="s">
        <v>24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x14ac:dyDescent="0.3">
      <c r="A2" s="5">
        <f>IF(timeseries!A2&lt;&gt;"",timeseries!A2,"")</f>
        <v>44671</v>
      </c>
    </row>
    <row r="3" spans="1:53" x14ac:dyDescent="0.3">
      <c r="A3" s="5">
        <f>IF(timeseries!A3&lt;&gt;"",timeseries!A3,"")</f>
        <v>44671.041666666664</v>
      </c>
    </row>
    <row r="4" spans="1:53" x14ac:dyDescent="0.3">
      <c r="A4" s="5">
        <f>IF(timeseries!A4&lt;&gt;"",timeseries!A4,"")</f>
        <v>44671.08333321759</v>
      </c>
    </row>
    <row r="5" spans="1:53" x14ac:dyDescent="0.3">
      <c r="A5" s="5">
        <f>IF(timeseries!A5&lt;&gt;"",timeseries!A5,"")</f>
        <v>44671.124999826388</v>
      </c>
    </row>
    <row r="6" spans="1:53" x14ac:dyDescent="0.3">
      <c r="A6" s="5">
        <f>IF(timeseries!A6&lt;&gt;"",timeseries!A6,"")</f>
        <v>44671.166666435187</v>
      </c>
    </row>
    <row r="7" spans="1:53" x14ac:dyDescent="0.3">
      <c r="A7" s="5">
        <f>IF(timeseries!A7&lt;&gt;"",timeseries!A7,"")</f>
        <v>44671.208333043978</v>
      </c>
    </row>
    <row r="8" spans="1:53" x14ac:dyDescent="0.3">
      <c r="A8" s="5">
        <f>IF(timeseries!A8&lt;&gt;"",timeseries!A8,"")</f>
        <v>44671.249999537038</v>
      </c>
    </row>
    <row r="9" spans="1:53" x14ac:dyDescent="0.3">
      <c r="A9" s="5">
        <f>IF(timeseries!A9&lt;&gt;"",timeseries!A9,"")</f>
        <v>44671.291666087964</v>
      </c>
    </row>
    <row r="10" spans="1:53" x14ac:dyDescent="0.3">
      <c r="A10" s="5">
        <f>IF(timeseries!A10&lt;&gt;"",timeseries!A10,"")</f>
        <v>44671.333332638889</v>
      </c>
    </row>
    <row r="11" spans="1:53" x14ac:dyDescent="0.3">
      <c r="A11" s="5">
        <f>IF(timeseries!A11&lt;&gt;"",timeseries!A11,"")</f>
        <v>44671.374999189815</v>
      </c>
    </row>
    <row r="12" spans="1:53" x14ac:dyDescent="0.3">
      <c r="A12" s="5" t="str">
        <f>IF(timeseries!A12&lt;&gt;"",timeseries!A12,"")</f>
        <v/>
      </c>
    </row>
    <row r="13" spans="1:53" x14ac:dyDescent="0.3">
      <c r="A13" s="5" t="str">
        <f>IF(timeseries!A13&lt;&gt;"",timeseries!A13,"")</f>
        <v/>
      </c>
    </row>
    <row r="14" spans="1:53" x14ac:dyDescent="0.3">
      <c r="A14" s="5" t="str">
        <f>IF(timeseries!A14&lt;&gt;"",timeseries!A14,"")</f>
        <v/>
      </c>
    </row>
    <row r="15" spans="1:53" x14ac:dyDescent="0.3">
      <c r="A15" s="5" t="str">
        <f>IF(timeseries!A15&lt;&gt;"",timeseries!A15,"")</f>
        <v/>
      </c>
    </row>
    <row r="16" spans="1:53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D9" sqref="D9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46</v>
      </c>
      <c r="B2">
        <v>0.1</v>
      </c>
    </row>
    <row r="3" spans="1:2" x14ac:dyDescent="0.3">
      <c r="A3" t="s">
        <v>47</v>
      </c>
      <c r="B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5" sqref="B5"/>
    </sheetView>
  </sheetViews>
  <sheetFormatPr defaultRowHeight="14.4" x14ac:dyDescent="0.3"/>
  <sheetData>
    <row r="1" spans="1:2" s="2" customFormat="1" x14ac:dyDescent="0.3">
      <c r="A1" s="2" t="s">
        <v>31</v>
      </c>
      <c r="B1" s="2" t="s">
        <v>32</v>
      </c>
    </row>
    <row r="2" spans="1:2" x14ac:dyDescent="0.3">
      <c r="A2" t="s">
        <v>33</v>
      </c>
      <c r="B2">
        <v>0.3</v>
      </c>
    </row>
    <row r="3" spans="1:2" x14ac:dyDescent="0.3">
      <c r="A3" t="s">
        <v>34</v>
      </c>
      <c r="B3">
        <v>0.4</v>
      </c>
    </row>
    <row r="4" spans="1:2" x14ac:dyDescent="0.3">
      <c r="A4" t="s">
        <v>95</v>
      </c>
      <c r="B4">
        <v>0.3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25"/>
  <sheetViews>
    <sheetView workbookViewId="0">
      <selection sqref="A1:A1048576"/>
    </sheetView>
  </sheetViews>
  <sheetFormatPr defaultRowHeight="14.4" x14ac:dyDescent="0.3"/>
  <cols>
    <col min="1" max="1" width="19.33203125" style="5" customWidth="1"/>
  </cols>
  <sheetData>
    <row r="1" spans="1:1" s="2" customFormat="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A25"/>
  <sheetViews>
    <sheetView workbookViewId="0">
      <selection activeCell="B1" sqref="B1:D1048576"/>
    </sheetView>
  </sheetViews>
  <sheetFormatPr defaultRowHeight="14.4" x14ac:dyDescent="0.3"/>
  <cols>
    <col min="1" max="1" width="19.33203125" style="5" customWidth="1"/>
  </cols>
  <sheetData>
    <row r="1" spans="1:1" s="2" customFormat="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A25"/>
  <sheetViews>
    <sheetView workbookViewId="0">
      <selection activeCell="G28" sqref="G28"/>
    </sheetView>
  </sheetViews>
  <sheetFormatPr defaultRowHeight="14.4" x14ac:dyDescent="0.3"/>
  <cols>
    <col min="1" max="1" width="19.33203125" style="5" customWidth="1"/>
  </cols>
  <sheetData>
    <row r="1" spans="1:1" x14ac:dyDescent="0.3">
      <c r="A1" s="2" t="s">
        <v>24</v>
      </c>
    </row>
    <row r="2" spans="1:1" x14ac:dyDescent="0.3">
      <c r="A2" s="5">
        <f>IF(timeseries!A2&lt;&gt;"",timeseries!A2,"")</f>
        <v>44671</v>
      </c>
    </row>
    <row r="3" spans="1:1" x14ac:dyDescent="0.3">
      <c r="A3" s="5">
        <f>IF(timeseries!A3&lt;&gt;"",timeseries!A3,"")</f>
        <v>44671.041666666664</v>
      </c>
    </row>
    <row r="4" spans="1:1" x14ac:dyDescent="0.3">
      <c r="A4" s="5">
        <f>IF(timeseries!A4&lt;&gt;"",timeseries!A4,"")</f>
        <v>44671.08333321759</v>
      </c>
    </row>
    <row r="5" spans="1:1" x14ac:dyDescent="0.3">
      <c r="A5" s="5">
        <f>IF(timeseries!A5&lt;&gt;"",timeseries!A5,"")</f>
        <v>44671.124999826388</v>
      </c>
    </row>
    <row r="6" spans="1:1" x14ac:dyDescent="0.3">
      <c r="A6" s="5">
        <f>IF(timeseries!A6&lt;&gt;"",timeseries!A6,"")</f>
        <v>44671.166666435187</v>
      </c>
    </row>
    <row r="7" spans="1:1" x14ac:dyDescent="0.3">
      <c r="A7" s="5">
        <f>IF(timeseries!A7&lt;&gt;"",timeseries!A7,"")</f>
        <v>44671.208333043978</v>
      </c>
    </row>
    <row r="8" spans="1:1" x14ac:dyDescent="0.3">
      <c r="A8" s="5">
        <f>IF(timeseries!A8&lt;&gt;"",timeseries!A8,"")</f>
        <v>44671.249999537038</v>
      </c>
    </row>
    <row r="9" spans="1:1" x14ac:dyDescent="0.3">
      <c r="A9" s="5">
        <f>IF(timeseries!A9&lt;&gt;"",timeseries!A9,"")</f>
        <v>44671.291666087964</v>
      </c>
    </row>
    <row r="10" spans="1:1" x14ac:dyDescent="0.3">
      <c r="A10" s="5">
        <f>IF(timeseries!A10&lt;&gt;"",timeseries!A10,"")</f>
        <v>44671.333332638889</v>
      </c>
    </row>
    <row r="11" spans="1:1" x14ac:dyDescent="0.3">
      <c r="A11" s="5">
        <f>IF(timeseries!A11&lt;&gt;"",timeseries!A11,"")</f>
        <v>44671.374999189815</v>
      </c>
    </row>
    <row r="12" spans="1:1" x14ac:dyDescent="0.3">
      <c r="A12" s="5" t="str">
        <f>IF(timeseries!A12&lt;&gt;"",timeseries!A12,"")</f>
        <v/>
      </c>
    </row>
    <row r="13" spans="1:1" x14ac:dyDescent="0.3">
      <c r="A13" s="5" t="str">
        <f>IF(timeseries!A13&lt;&gt;"",timeseries!A13,"")</f>
        <v/>
      </c>
    </row>
    <row r="14" spans="1:1" x14ac:dyDescent="0.3">
      <c r="A14" s="5" t="str">
        <f>IF(timeseries!A14&lt;&gt;"",timeseries!A14,"")</f>
        <v/>
      </c>
    </row>
    <row r="15" spans="1:1" x14ac:dyDescent="0.3">
      <c r="A15" s="5" t="str">
        <f>IF(timeseries!A15&lt;&gt;"",timeseries!A15,"")</f>
        <v/>
      </c>
    </row>
    <row r="16" spans="1:1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D2" sqref="D2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31</v>
      </c>
      <c r="B1" t="s">
        <v>50</v>
      </c>
      <c r="C1" t="s">
        <v>82</v>
      </c>
      <c r="D1" t="s">
        <v>83</v>
      </c>
    </row>
    <row r="2" spans="1:13" x14ac:dyDescent="0.3">
      <c r="A2" t="s">
        <v>70</v>
      </c>
      <c r="B2" t="s">
        <v>71</v>
      </c>
      <c r="C2">
        <v>0</v>
      </c>
      <c r="D2">
        <v>0</v>
      </c>
    </row>
    <row r="9" spans="1:13" x14ac:dyDescent="0.3">
      <c r="K9" s="2"/>
      <c r="L9" s="2"/>
      <c r="M9" s="2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J25"/>
  <sheetViews>
    <sheetView workbookViewId="0"/>
  </sheetViews>
  <sheetFormatPr defaultRowHeight="14.4" x14ac:dyDescent="0.3"/>
  <cols>
    <col min="1" max="1" width="19.33203125" style="5" customWidth="1"/>
    <col min="2" max="4" width="14.44140625" bestFit="1" customWidth="1"/>
    <col min="5" max="7" width="14.109375" bestFit="1" customWidth="1"/>
    <col min="8" max="8" width="19.109375" bestFit="1" customWidth="1"/>
    <col min="9" max="9" width="20.44140625" bestFit="1" customWidth="1"/>
    <col min="10" max="10" width="10.88671875" bestFit="1" customWidth="1"/>
  </cols>
  <sheetData>
    <row r="1" spans="1:10" x14ac:dyDescent="0.3">
      <c r="A1" s="2" t="s">
        <v>24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96</v>
      </c>
      <c r="I1" t="s">
        <v>97</v>
      </c>
      <c r="J1" t="s">
        <v>98</v>
      </c>
    </row>
    <row r="2" spans="1:10" x14ac:dyDescent="0.3">
      <c r="A2" s="5">
        <f>IF(timeseries!A2&lt;&gt;"",timeseries!A2,"")</f>
        <v>44671</v>
      </c>
      <c r="B2">
        <v>-3</v>
      </c>
      <c r="C2">
        <v>1</v>
      </c>
      <c r="D2">
        <v>0</v>
      </c>
      <c r="E2">
        <v>-3</v>
      </c>
      <c r="F2">
        <v>1</v>
      </c>
      <c r="G2">
        <v>0</v>
      </c>
      <c r="H2">
        <v>-3</v>
      </c>
      <c r="I2">
        <v>1</v>
      </c>
      <c r="J2">
        <v>0</v>
      </c>
    </row>
    <row r="3" spans="1:10" x14ac:dyDescent="0.3">
      <c r="A3" s="5">
        <f>IF(timeseries!A3&lt;&gt;"",timeseries!A3,"")</f>
        <v>44671.041666666664</v>
      </c>
      <c r="B3">
        <v>-3</v>
      </c>
      <c r="C3">
        <v>1</v>
      </c>
      <c r="D3">
        <v>0</v>
      </c>
      <c r="E3">
        <v>-3</v>
      </c>
      <c r="F3">
        <v>1</v>
      </c>
      <c r="G3">
        <v>0</v>
      </c>
      <c r="H3">
        <v>-3</v>
      </c>
      <c r="I3">
        <v>1</v>
      </c>
      <c r="J3">
        <v>0</v>
      </c>
    </row>
    <row r="4" spans="1:10" x14ac:dyDescent="0.3">
      <c r="A4" s="5">
        <f>IF(timeseries!A4&lt;&gt;"",timeseries!A4,"")</f>
        <v>44671.08333321759</v>
      </c>
      <c r="B4">
        <v>-3</v>
      </c>
      <c r="C4">
        <v>1</v>
      </c>
      <c r="D4">
        <v>0</v>
      </c>
      <c r="E4">
        <v>-3</v>
      </c>
      <c r="F4">
        <v>1</v>
      </c>
      <c r="G4">
        <v>0</v>
      </c>
      <c r="H4">
        <v>-3</v>
      </c>
      <c r="I4">
        <v>1</v>
      </c>
      <c r="J4">
        <v>0</v>
      </c>
    </row>
    <row r="5" spans="1:10" x14ac:dyDescent="0.3">
      <c r="A5" s="5">
        <f>IF(timeseries!A5&lt;&gt;"",timeseries!A5,"")</f>
        <v>44671.124999826388</v>
      </c>
      <c r="B5">
        <v>-3</v>
      </c>
      <c r="C5">
        <v>1</v>
      </c>
      <c r="D5">
        <v>0</v>
      </c>
      <c r="E5">
        <v>-3</v>
      </c>
      <c r="F5">
        <v>1</v>
      </c>
      <c r="G5">
        <v>0</v>
      </c>
      <c r="H5">
        <v>-3</v>
      </c>
      <c r="I5">
        <v>1</v>
      </c>
      <c r="J5">
        <v>0</v>
      </c>
    </row>
    <row r="6" spans="1:10" x14ac:dyDescent="0.3">
      <c r="A6" s="5">
        <f>IF(timeseries!A6&lt;&gt;"",timeseries!A6,"")</f>
        <v>44671.166666435187</v>
      </c>
      <c r="B6">
        <v>-3</v>
      </c>
      <c r="C6">
        <v>1</v>
      </c>
      <c r="D6">
        <v>0</v>
      </c>
      <c r="E6">
        <v>-3</v>
      </c>
      <c r="F6">
        <v>1</v>
      </c>
      <c r="G6">
        <v>0</v>
      </c>
      <c r="H6">
        <v>-3</v>
      </c>
      <c r="I6">
        <v>1</v>
      </c>
      <c r="J6">
        <v>0</v>
      </c>
    </row>
    <row r="7" spans="1:10" x14ac:dyDescent="0.3">
      <c r="A7" s="5">
        <f>IF(timeseries!A7&lt;&gt;"",timeseries!A7,"")</f>
        <v>44671.208333043978</v>
      </c>
      <c r="B7">
        <v>-3</v>
      </c>
      <c r="C7">
        <v>1</v>
      </c>
      <c r="D7">
        <v>0</v>
      </c>
      <c r="E7">
        <v>-3</v>
      </c>
      <c r="F7">
        <v>1</v>
      </c>
      <c r="G7">
        <v>0</v>
      </c>
      <c r="H7">
        <v>-3</v>
      </c>
      <c r="I7">
        <v>1</v>
      </c>
      <c r="J7">
        <v>0</v>
      </c>
    </row>
    <row r="8" spans="1:10" x14ac:dyDescent="0.3">
      <c r="A8" s="5">
        <f>IF(timeseries!A8&lt;&gt;"",timeseries!A8,"")</f>
        <v>44671.249999537038</v>
      </c>
      <c r="B8">
        <v>-3</v>
      </c>
      <c r="C8">
        <v>1</v>
      </c>
      <c r="D8">
        <v>0</v>
      </c>
      <c r="E8">
        <v>-3</v>
      </c>
      <c r="F8">
        <v>1</v>
      </c>
      <c r="G8">
        <v>0</v>
      </c>
      <c r="H8">
        <v>-3</v>
      </c>
      <c r="I8">
        <v>1</v>
      </c>
      <c r="J8">
        <v>0</v>
      </c>
    </row>
    <row r="9" spans="1:10" x14ac:dyDescent="0.3">
      <c r="A9" s="5">
        <f>IF(timeseries!A9&lt;&gt;"",timeseries!A9,"")</f>
        <v>44671.291666087964</v>
      </c>
      <c r="B9">
        <v>-3</v>
      </c>
      <c r="C9">
        <v>1</v>
      </c>
      <c r="D9">
        <v>0</v>
      </c>
      <c r="E9">
        <v>-3</v>
      </c>
      <c r="F9">
        <v>1</v>
      </c>
      <c r="G9">
        <v>0</v>
      </c>
      <c r="H9">
        <v>-3</v>
      </c>
      <c r="I9">
        <v>1</v>
      </c>
      <c r="J9">
        <v>0</v>
      </c>
    </row>
    <row r="10" spans="1:10" x14ac:dyDescent="0.3">
      <c r="A10" s="5">
        <f>IF(timeseries!A10&lt;&gt;"",timeseries!A10,"")</f>
        <v>44671.333332638889</v>
      </c>
      <c r="B10">
        <v>-3</v>
      </c>
      <c r="C10">
        <v>1</v>
      </c>
      <c r="D10">
        <v>0</v>
      </c>
      <c r="E10">
        <v>-3</v>
      </c>
      <c r="F10">
        <v>1</v>
      </c>
      <c r="G10">
        <v>0</v>
      </c>
      <c r="H10">
        <v>-3</v>
      </c>
      <c r="I10">
        <v>1</v>
      </c>
      <c r="J10">
        <v>0</v>
      </c>
    </row>
    <row r="11" spans="1:10" x14ac:dyDescent="0.3">
      <c r="A11" s="5">
        <f>IF(timeseries!A11&lt;&gt;"",timeseries!A11,"")</f>
        <v>44671.374999189815</v>
      </c>
      <c r="B11">
        <v>-3</v>
      </c>
      <c r="C11">
        <v>1</v>
      </c>
      <c r="D11">
        <v>0</v>
      </c>
      <c r="E11">
        <v>-3</v>
      </c>
      <c r="F11">
        <v>1</v>
      </c>
      <c r="G11">
        <v>0</v>
      </c>
      <c r="H11">
        <v>-3</v>
      </c>
      <c r="I11">
        <v>1</v>
      </c>
      <c r="J11">
        <v>0</v>
      </c>
    </row>
    <row r="12" spans="1:10" x14ac:dyDescent="0.3">
      <c r="A12" s="5" t="str">
        <f>IF(timeseries!A12&lt;&gt;"",timeseries!A12,"")</f>
        <v/>
      </c>
    </row>
    <row r="13" spans="1:10" x14ac:dyDescent="0.3">
      <c r="A13" s="5" t="str">
        <f>IF(timeseries!A13&lt;&gt;"",timeseries!A13,"")</f>
        <v/>
      </c>
    </row>
    <row r="14" spans="1:10" x14ac:dyDescent="0.3">
      <c r="A14" s="5" t="str">
        <f>IF(timeseries!A14&lt;&gt;"",timeseries!A14,"")</f>
        <v/>
      </c>
    </row>
    <row r="15" spans="1:10" x14ac:dyDescent="0.3">
      <c r="A15" s="5" t="str">
        <f>IF(timeseries!A15&lt;&gt;"",timeseries!A15,"")</f>
        <v/>
      </c>
    </row>
    <row r="16" spans="1:10" x14ac:dyDescent="0.3">
      <c r="A16" s="5" t="str">
        <f>IF(timeseries!A16&lt;&gt;"",timeseries!A16,"")</f>
        <v/>
      </c>
    </row>
    <row r="17" spans="1:1" x14ac:dyDescent="0.3">
      <c r="A17" s="5" t="str">
        <f>IF(timeseries!A17&lt;&gt;"",timeseries!A17,"")</f>
        <v/>
      </c>
    </row>
    <row r="18" spans="1:1" x14ac:dyDescent="0.3">
      <c r="A18" s="5" t="str">
        <f>IF(timeseries!A18&lt;&gt;"",timeseries!A18,"")</f>
        <v/>
      </c>
    </row>
    <row r="19" spans="1:1" x14ac:dyDescent="0.3">
      <c r="A19" s="5" t="str">
        <f>IF(timeseries!A19&lt;&gt;"",timeseries!A19,"")</f>
        <v/>
      </c>
    </row>
    <row r="20" spans="1:1" x14ac:dyDescent="0.3">
      <c r="A20" s="5" t="str">
        <f>IF(timeseries!A20&lt;&gt;"",timeseries!A20,"")</f>
        <v/>
      </c>
    </row>
    <row r="21" spans="1:1" x14ac:dyDescent="0.3">
      <c r="A21" s="5" t="str">
        <f>IF(timeseries!A21&lt;&gt;"",timeseries!A21,"")</f>
        <v/>
      </c>
    </row>
    <row r="22" spans="1:1" x14ac:dyDescent="0.3">
      <c r="A22" s="5" t="str">
        <f>IF(timeseries!A22&lt;&gt;"",timeseries!A22,"")</f>
        <v/>
      </c>
    </row>
    <row r="23" spans="1:1" x14ac:dyDescent="0.3">
      <c r="A23" s="5" t="str">
        <f>IF(timeseries!A23&lt;&gt;"",timeseries!A23,"")</f>
        <v/>
      </c>
    </row>
    <row r="24" spans="1:1" x14ac:dyDescent="0.3">
      <c r="A24" s="5" t="str">
        <f>IF(timeseries!A24&lt;&gt;"",timeseries!A24,"")</f>
        <v/>
      </c>
    </row>
    <row r="25" spans="1:1" x14ac:dyDescent="0.3">
      <c r="A25" s="5" t="str">
        <f>IF(timeseries!A25&lt;&gt;"",timeseries!A25,"")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cap_ts</vt:lpstr>
      <vt:lpstr>constraints</vt:lpstr>
      <vt:lpstr>gen_constraint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2025-04-15T05:03:32Z</dcterms:modified>
</cp:coreProperties>
</file>