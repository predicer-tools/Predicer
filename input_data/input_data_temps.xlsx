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dennis\HOPE\Predicer\input_data\"/>
    </mc:Choice>
  </mc:AlternateContent>
  <xr:revisionPtr revIDLastSave="0" documentId="13_ncr:1_{A462AE49-F903-48AC-9AC3-D7C72F6796F1}" xr6:coauthVersionLast="47" xr6:coauthVersionMax="47" xr10:uidLastSave="{00000000-0000-0000-0000-000000000000}"/>
  <bookViews>
    <workbookView xWindow="-108" yWindow="-108" windowWidth="23256" windowHeight="12576" tabRatio="796" firstSheet="5" activeTab="15" xr2:uid="{788BFBD1-D930-4535-8A91-D85C56924796}"/>
  </bookViews>
  <sheets>
    <sheet name="timeseries" sheetId="18" r:id="rId1"/>
    <sheet name="time_horizon" sheetId="26" r:id="rId2"/>
    <sheet name="setup" sheetId="27" r:id="rId3"/>
    <sheet name="nodes" sheetId="1" r:id="rId4"/>
    <sheet name="processes" sheetId="2" r:id="rId5"/>
    <sheet name="groups" sheetId="21" r:id="rId6"/>
    <sheet name="efficiencies" sheetId="10" r:id="rId7"/>
    <sheet name="process_topology" sheetId="6" r:id="rId8"/>
    <sheet name="node_history" sheetId="19" r:id="rId9"/>
    <sheet name="node_delay" sheetId="25" r:id="rId10"/>
    <sheet name="node_diffusion" sheetId="24" r:id="rId11"/>
    <sheet name="reserve_type" sheetId="13" r:id="rId12"/>
    <sheet name="cf" sheetId="7" r:id="rId13"/>
    <sheet name="inflow" sheetId="3" r:id="rId14"/>
    <sheet name="inflow_blocks" sheetId="22" r:id="rId15"/>
    <sheet name="flex_inflow" sheetId="30" r:id="rId16"/>
    <sheet name="price" sheetId="4" r:id="rId17"/>
    <sheet name="markets" sheetId="5" r:id="rId18"/>
    <sheet name="reserve_realisation" sheetId="23" r:id="rId19"/>
    <sheet name="market_prices" sheetId="8" r:id="rId20"/>
    <sheet name="balance_prices" sheetId="20" r:id="rId21"/>
    <sheet name="reserve_activation_price" sheetId="28" r:id="rId22"/>
    <sheet name="bid_slots" sheetId="29" r:id="rId23"/>
    <sheet name="risk" sheetId="17" r:id="rId24"/>
    <sheet name="scenarios" sheetId="9" r:id="rId25"/>
    <sheet name="fixed_ts" sheetId="11" r:id="rId26"/>
    <sheet name="eff_ts" sheetId="12" r:id="rId27"/>
    <sheet name="constraints" sheetId="14" r:id="rId28"/>
    <sheet name="gen_constraint" sheetId="15" r:id="rId29"/>
    <sheet name="cap_ts" sheetId="16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5" i="24" l="1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5" i="29"/>
  <c r="A4" i="29"/>
  <c r="A3" i="29"/>
  <c r="A2" i="29"/>
  <c r="A11" i="28" l="1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10" i="28"/>
  <c r="A9" i="28"/>
  <c r="A8" i="28"/>
  <c r="A7" i="28"/>
  <c r="A6" i="28"/>
  <c r="A5" i="28"/>
  <c r="A4" i="28"/>
  <c r="A3" i="28"/>
  <c r="A2" i="28"/>
  <c r="A25" i="23" l="1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C3" i="20" l="1"/>
  <c r="E4" i="20"/>
  <c r="E5" i="20"/>
  <c r="E6" i="20"/>
  <c r="E7" i="20"/>
  <c r="E8" i="20"/>
  <c r="E9" i="20"/>
  <c r="E10" i="20"/>
  <c r="C2" i="20"/>
  <c r="D2" i="20"/>
  <c r="D3" i="20"/>
  <c r="D4" i="20"/>
  <c r="D5" i="20"/>
  <c r="D6" i="20"/>
  <c r="D7" i="20"/>
  <c r="D8" i="20"/>
  <c r="D9" i="20"/>
  <c r="D10" i="20"/>
  <c r="G10" i="15"/>
  <c r="G9" i="15"/>
  <c r="G8" i="15"/>
  <c r="G7" i="15"/>
  <c r="G6" i="15"/>
  <c r="G5" i="15"/>
  <c r="G4" i="15"/>
  <c r="G3" i="15"/>
  <c r="G2" i="15"/>
  <c r="E10" i="15"/>
  <c r="E9" i="15"/>
  <c r="E8" i="15"/>
  <c r="E7" i="15"/>
  <c r="E6" i="15"/>
  <c r="E5" i="15"/>
  <c r="E4" i="15"/>
  <c r="E3" i="15"/>
  <c r="E2" i="15"/>
  <c r="C3" i="15"/>
  <c r="C4" i="15"/>
  <c r="C5" i="15"/>
  <c r="C6" i="15"/>
  <c r="C7" i="15"/>
  <c r="C8" i="15"/>
  <c r="C9" i="15"/>
  <c r="C10" i="15"/>
  <c r="C2" i="15"/>
  <c r="B9" i="20"/>
  <c r="B10" i="20"/>
  <c r="B4" i="20"/>
  <c r="B6" i="20"/>
  <c r="B8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A2" i="20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C1" i="10"/>
  <c r="D1" i="10" s="1"/>
  <c r="E1" i="10" s="1"/>
  <c r="F1" i="10" s="1"/>
  <c r="G1" i="10" s="1"/>
  <c r="H1" i="10" s="1"/>
  <c r="I1" i="10" s="1"/>
  <c r="J1" i="10" s="1"/>
  <c r="K1" i="10" s="1"/>
  <c r="C10" i="20" l="1"/>
  <c r="E2" i="20"/>
  <c r="E3" i="20"/>
  <c r="C9" i="20"/>
  <c r="C8" i="20"/>
  <c r="C7" i="20"/>
  <c r="C5" i="20"/>
  <c r="C6" i="20"/>
  <c r="C4" i="20"/>
  <c r="B5" i="20"/>
  <c r="B3" i="20"/>
  <c r="B7" i="20"/>
  <c r="B2" i="20"/>
</calcChain>
</file>

<file path=xl/sharedStrings.xml><?xml version="1.0" encoding="utf-8"?>
<sst xmlns="http://schemas.openxmlformats.org/spreadsheetml/2006/main" count="197" uniqueCount="137">
  <si>
    <t>node</t>
  </si>
  <si>
    <t>is_commodity</t>
  </si>
  <si>
    <t>is_state</t>
  </si>
  <si>
    <t>state_max</t>
  </si>
  <si>
    <t>in_max</t>
  </si>
  <si>
    <t>out_max</t>
  </si>
  <si>
    <t>is_market</t>
  </si>
  <si>
    <t>ng</t>
  </si>
  <si>
    <t>elc</t>
  </si>
  <si>
    <t>dh</t>
  </si>
  <si>
    <t>is_inflow</t>
  </si>
  <si>
    <t>npe</t>
  </si>
  <si>
    <t>process</t>
  </si>
  <si>
    <t>is_cf</t>
  </si>
  <si>
    <t>is_online</t>
  </si>
  <si>
    <t>capacity</t>
  </si>
  <si>
    <t>eff</t>
  </si>
  <si>
    <t>conversion</t>
  </si>
  <si>
    <t>load_max</t>
  </si>
  <si>
    <t>load_min</t>
  </si>
  <si>
    <t>ramp_down</t>
  </si>
  <si>
    <t>ramp_up</t>
  </si>
  <si>
    <t>ngchp</t>
  </si>
  <si>
    <t>hp1</t>
  </si>
  <si>
    <t>pv1</t>
  </si>
  <si>
    <t>source</t>
  </si>
  <si>
    <t>source_sink</t>
  </si>
  <si>
    <t>sink</t>
  </si>
  <si>
    <t>t</t>
  </si>
  <si>
    <t>market</t>
  </si>
  <si>
    <t>is_res</t>
  </si>
  <si>
    <t>conversion_coeff</t>
  </si>
  <si>
    <t>reserve</t>
  </si>
  <si>
    <t>energy</t>
  </si>
  <si>
    <t>direction</t>
  </si>
  <si>
    <t>none</t>
  </si>
  <si>
    <t>name</t>
  </si>
  <si>
    <t>propability</t>
  </si>
  <si>
    <t>s1</t>
  </si>
  <si>
    <t>s2</t>
  </si>
  <si>
    <t>npe,s1</t>
  </si>
  <si>
    <t>npe,s2</t>
  </si>
  <si>
    <t>start_cost</t>
  </si>
  <si>
    <t>hp1,s1</t>
  </si>
  <si>
    <t>hp1,s2</t>
  </si>
  <si>
    <t>min_online</t>
  </si>
  <si>
    <t>min_offline</t>
  </si>
  <si>
    <t>ramp_factor</t>
  </si>
  <si>
    <t>fast</t>
  </si>
  <si>
    <t>reserve_type</t>
  </si>
  <si>
    <t>res_up</t>
  </si>
  <si>
    <t>pv2</t>
  </si>
  <si>
    <t>is_cf_fix</t>
  </si>
  <si>
    <t>c1</t>
  </si>
  <si>
    <t>eq</t>
  </si>
  <si>
    <t>c1,ngchp,elc,s1</t>
  </si>
  <si>
    <t>c1,ngchp,elc,s2</t>
  </si>
  <si>
    <t>c1,ngchp,dh,s1</t>
  </si>
  <si>
    <t>c1,ngchp,dh,s2</t>
  </si>
  <si>
    <t>c1,s1</t>
  </si>
  <si>
    <t>c1,s2</t>
  </si>
  <si>
    <t>initial_state</t>
  </si>
  <si>
    <t>hp1,elc,s1</t>
  </si>
  <si>
    <t>hp1,elc,s2</t>
  </si>
  <si>
    <t>delay</t>
  </si>
  <si>
    <t>parameter</t>
  </si>
  <si>
    <t>value</t>
  </si>
  <si>
    <t>alfa</t>
  </si>
  <si>
    <t>beta</t>
  </si>
  <si>
    <t>is_bid</t>
  </si>
  <si>
    <t>state_loss_proportional</t>
  </si>
  <si>
    <t>operator</t>
  </si>
  <si>
    <t>ng, ALL</t>
  </si>
  <si>
    <t>residual_value</t>
  </si>
  <si>
    <t>npe,up,s1</t>
  </si>
  <si>
    <t>npe,up,s2</t>
  </si>
  <si>
    <t>npe,dw,s1</t>
  </si>
  <si>
    <t>npe,dw,s2</t>
  </si>
  <si>
    <t>max_online</t>
  </si>
  <si>
    <t>max_offline</t>
  </si>
  <si>
    <t>entity</t>
  </si>
  <si>
    <t>group</t>
  </si>
  <si>
    <t>is_limited</t>
  </si>
  <si>
    <t>fee</t>
  </si>
  <si>
    <t>min_bid</t>
  </si>
  <si>
    <t>max_bid</t>
  </si>
  <si>
    <t>is_setpoint</t>
  </si>
  <si>
    <t>penalty</t>
  </si>
  <si>
    <t>processgroup</t>
  </si>
  <si>
    <t>p1</t>
  </si>
  <si>
    <t>elc_res</t>
  </si>
  <si>
    <t>node1</t>
  </si>
  <si>
    <t>node2</t>
  </si>
  <si>
    <t>state_min</t>
  </si>
  <si>
    <t>is_temp</t>
  </si>
  <si>
    <t>delay_t</t>
  </si>
  <si>
    <t>min_flow</t>
  </si>
  <si>
    <t>max_flow</t>
  </si>
  <si>
    <t>timestep_amount</t>
  </si>
  <si>
    <t>timestep_length_in_h</t>
  </si>
  <si>
    <t>index</t>
  </si>
  <si>
    <t>dh,s1</t>
  </si>
  <si>
    <t>dh,s2</t>
  </si>
  <si>
    <t>pv1,s1</t>
  </si>
  <si>
    <t>sp1</t>
  </si>
  <si>
    <t>sp1,dh,s1</t>
  </si>
  <si>
    <t>sp1,dh,s2</t>
  </si>
  <si>
    <t>gt</t>
  </si>
  <si>
    <t>pv1,s2</t>
  </si>
  <si>
    <t>up</t>
  </si>
  <si>
    <t>res_up,s1</t>
  </si>
  <si>
    <t>res_up,s2</t>
  </si>
  <si>
    <t>p2</t>
  </si>
  <si>
    <t>initial_load</t>
  </si>
  <si>
    <t>initial_flow</t>
  </si>
  <si>
    <t>use_market_bids</t>
  </si>
  <si>
    <t>use_reserves</t>
  </si>
  <si>
    <t>use_reserve_realisation</t>
  </si>
  <si>
    <t>use_node_dummy_variables</t>
  </si>
  <si>
    <t>use_ramp_dummy_variables</t>
  </si>
  <si>
    <t>common_scenario_name</t>
  </si>
  <si>
    <t>scenario_independent_state</t>
  </si>
  <si>
    <t>scenario_independent_online</t>
  </si>
  <si>
    <t>node_dummy_variable_cost</t>
  </si>
  <si>
    <t>ramp_dummy_variable_cost</t>
  </si>
  <si>
    <t>vom_cost</t>
  </si>
  <si>
    <t>t_e_conversion</t>
  </si>
  <si>
    <t>market_type</t>
  </si>
  <si>
    <t>group_type</t>
  </si>
  <si>
    <t>common_start_timesteps</t>
  </si>
  <si>
    <t>common_end_timesteps</t>
  </si>
  <si>
    <t>period_name</t>
  </si>
  <si>
    <t>scenario</t>
  </si>
  <si>
    <t>t_start</t>
  </si>
  <si>
    <t>t_end</t>
  </si>
  <si>
    <t>inflow</t>
  </si>
  <si>
    <t>deviation_penalty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</si>
</sst>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22" fontId="0" fillId="0" borderId="0" xfId="0" applyNumberFormat="1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3E69-3A75-490E-847C-66A9CF6C1FC5}">
  <dimension ref="A1:A49"/>
  <sheetViews>
    <sheetView workbookViewId="0">
      <selection activeCell="C26" sqref="C26"/>
    </sheetView>
  </sheetViews>
  <sheetFormatPr defaultRowHeight="14.4" x14ac:dyDescent="0.3"/>
  <cols>
    <col min="1" max="1" width="14.33203125" bestFit="1" customWidth="1"/>
  </cols>
  <sheetData>
    <row r="1" spans="1:1" x14ac:dyDescent="0.3">
      <c r="A1" t="s">
        <v>28</v>
      </c>
    </row>
    <row r="2" spans="1:1" x14ac:dyDescent="0.3">
      <c r="A2" s="3">
        <v>44624</v>
      </c>
    </row>
    <row r="3" spans="1:1" x14ac:dyDescent="0.3">
      <c r="A3" s="3">
        <v>44624.010416666664</v>
      </c>
    </row>
    <row r="4" spans="1:1" x14ac:dyDescent="0.3">
      <c r="A4" s="3">
        <v>44624.020833333336</v>
      </c>
    </row>
    <row r="5" spans="1:1" x14ac:dyDescent="0.3">
      <c r="A5" s="3">
        <v>44624.03125</v>
      </c>
    </row>
    <row r="6" spans="1:1" x14ac:dyDescent="0.3">
      <c r="A6" s="3">
        <v>44624.041666666664</v>
      </c>
    </row>
    <row r="7" spans="1:1" x14ac:dyDescent="0.3">
      <c r="A7" s="3">
        <v>44624.083333333336</v>
      </c>
    </row>
    <row r="8" spans="1:1" x14ac:dyDescent="0.3">
      <c r="A8" s="3">
        <v>44624.125</v>
      </c>
    </row>
    <row r="9" spans="1:1" x14ac:dyDescent="0.3">
      <c r="A9" s="3">
        <v>44624.291666666664</v>
      </c>
    </row>
    <row r="10" spans="1:1" x14ac:dyDescent="0.3">
      <c r="A10" s="3">
        <v>44624.458333333336</v>
      </c>
    </row>
    <row r="11" spans="1:1" x14ac:dyDescent="0.3">
      <c r="A11" s="3"/>
    </row>
    <row r="12" spans="1:1" x14ac:dyDescent="0.3">
      <c r="A12" s="3"/>
    </row>
    <row r="13" spans="1:1" x14ac:dyDescent="0.3">
      <c r="A13" s="3"/>
    </row>
    <row r="14" spans="1:1" x14ac:dyDescent="0.3">
      <c r="A14" s="3"/>
    </row>
    <row r="15" spans="1:1" x14ac:dyDescent="0.3">
      <c r="A15" s="3"/>
    </row>
    <row r="16" spans="1:1" x14ac:dyDescent="0.3">
      <c r="A16" s="3"/>
    </row>
    <row r="17" spans="1:1" x14ac:dyDescent="0.3">
      <c r="A17" s="3"/>
    </row>
    <row r="18" spans="1:1" x14ac:dyDescent="0.3">
      <c r="A18" s="3"/>
    </row>
    <row r="19" spans="1:1" x14ac:dyDescent="0.3">
      <c r="A19" s="3"/>
    </row>
    <row r="20" spans="1:1" x14ac:dyDescent="0.3">
      <c r="A20" s="3"/>
    </row>
    <row r="21" spans="1:1" x14ac:dyDescent="0.3">
      <c r="A21" s="3"/>
    </row>
    <row r="22" spans="1:1" x14ac:dyDescent="0.3">
      <c r="A22" s="3"/>
    </row>
    <row r="23" spans="1:1" x14ac:dyDescent="0.3">
      <c r="A23" s="3"/>
    </row>
    <row r="24" spans="1:1" x14ac:dyDescent="0.3">
      <c r="A24" s="3"/>
    </row>
    <row r="25" spans="1:1" x14ac:dyDescent="0.3">
      <c r="A25" s="3"/>
    </row>
    <row r="26" spans="1:1" x14ac:dyDescent="0.3">
      <c r="A26" s="3"/>
    </row>
    <row r="27" spans="1:1" x14ac:dyDescent="0.3">
      <c r="A27" s="3"/>
    </row>
    <row r="28" spans="1:1" x14ac:dyDescent="0.3">
      <c r="A28" s="3"/>
    </row>
    <row r="29" spans="1:1" x14ac:dyDescent="0.3">
      <c r="A29" s="3"/>
    </row>
    <row r="30" spans="1:1" x14ac:dyDescent="0.3">
      <c r="A30" s="3"/>
    </row>
    <row r="31" spans="1:1" x14ac:dyDescent="0.3">
      <c r="A31" s="3"/>
    </row>
    <row r="32" spans="1:1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3"/>
    </row>
    <row r="40" spans="1:1" x14ac:dyDescent="0.3">
      <c r="A40" s="3"/>
    </row>
    <row r="41" spans="1:1" x14ac:dyDescent="0.3">
      <c r="A41" s="3"/>
    </row>
    <row r="42" spans="1:1" x14ac:dyDescent="0.3">
      <c r="A42" s="3"/>
    </row>
    <row r="43" spans="1:1" x14ac:dyDescent="0.3">
      <c r="A43" s="3"/>
    </row>
    <row r="44" spans="1:1" x14ac:dyDescent="0.3">
      <c r="A44" s="3"/>
    </row>
    <row r="45" spans="1:1" x14ac:dyDescent="0.3">
      <c r="A45" s="3"/>
    </row>
    <row r="46" spans="1:1" x14ac:dyDescent="0.3">
      <c r="A46" s="3"/>
    </row>
    <row r="47" spans="1:1" x14ac:dyDescent="0.3">
      <c r="A47" s="3"/>
    </row>
    <row r="48" spans="1:1" x14ac:dyDescent="0.3">
      <c r="A48" s="3"/>
    </row>
    <row r="49" spans="1:1" x14ac:dyDescent="0.3">
      <c r="A4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021E-F1E6-4066-9417-B3D032BF6B3D}">
  <dimension ref="A1:J10"/>
  <sheetViews>
    <sheetView workbookViewId="0">
      <selection activeCell="B16" sqref="B16"/>
    </sheetView>
  </sheetViews>
  <sheetFormatPr defaultRowHeight="14.4" x14ac:dyDescent="0.3"/>
  <cols>
    <col min="2" max="2" width="18.6640625" bestFit="1" customWidth="1"/>
    <col min="3" max="3" width="15.5546875" bestFit="1" customWidth="1"/>
    <col min="4" max="4" width="13.33203125" style="4" bestFit="1" customWidth="1"/>
    <col min="10" max="10" width="13.33203125" style="4" bestFit="1" customWidth="1"/>
  </cols>
  <sheetData>
    <row r="1" spans="1:4" x14ac:dyDescent="0.3">
      <c r="A1" t="s">
        <v>100</v>
      </c>
      <c r="B1" t="s">
        <v>99</v>
      </c>
      <c r="C1" t="s">
        <v>98</v>
      </c>
      <c r="D1"/>
    </row>
    <row r="2" spans="1:4" x14ac:dyDescent="0.3">
      <c r="A2">
        <v>1</v>
      </c>
      <c r="B2">
        <v>0.25</v>
      </c>
      <c r="C2">
        <v>4</v>
      </c>
    </row>
    <row r="3" spans="1:4" x14ac:dyDescent="0.3">
      <c r="A3">
        <v>2</v>
      </c>
      <c r="B3">
        <v>1</v>
      </c>
      <c r="C3">
        <v>2</v>
      </c>
    </row>
    <row r="4" spans="1:4" x14ac:dyDescent="0.3">
      <c r="A4">
        <v>3</v>
      </c>
      <c r="B4">
        <v>4</v>
      </c>
      <c r="C4">
        <v>2</v>
      </c>
    </row>
    <row r="6" spans="1:4" x14ac:dyDescent="0.3">
      <c r="C6" s="6"/>
    </row>
    <row r="7" spans="1:4" x14ac:dyDescent="0.3">
      <c r="B7" s="5"/>
      <c r="C7" s="6"/>
    </row>
    <row r="8" spans="1:4" x14ac:dyDescent="0.3">
      <c r="B8" s="5"/>
      <c r="C8" s="6"/>
    </row>
    <row r="9" spans="1:4" x14ac:dyDescent="0.3">
      <c r="B9" s="5"/>
      <c r="C9" s="6"/>
    </row>
    <row r="10" spans="1:4" x14ac:dyDescent="0.3">
      <c r="C10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722DB-EA8F-4752-8AE5-4F3986218151}">
  <dimension ref="A1:B11"/>
  <sheetViews>
    <sheetView workbookViewId="0">
      <selection activeCell="P10" activeCellId="1" sqref="B9:B10 P10"/>
    </sheetView>
  </sheetViews>
  <sheetFormatPr defaultRowHeight="14.4" x14ac:dyDescent="0.3"/>
  <cols>
    <col min="1" max="1" width="27" bestFit="1" customWidth="1"/>
    <col min="2" max="2" width="5.88671875" bestFit="1" customWidth="1"/>
  </cols>
  <sheetData>
    <row r="1" spans="1:2" x14ac:dyDescent="0.3">
      <c r="A1" s="1" t="s">
        <v>65</v>
      </c>
      <c r="B1" s="1" t="s">
        <v>66</v>
      </c>
    </row>
    <row r="2" spans="1:2" x14ac:dyDescent="0.3">
      <c r="A2" t="s">
        <v>115</v>
      </c>
      <c r="B2">
        <v>1</v>
      </c>
    </row>
    <row r="3" spans="1:2" x14ac:dyDescent="0.3">
      <c r="A3" t="s">
        <v>116</v>
      </c>
      <c r="B3">
        <v>1</v>
      </c>
    </row>
    <row r="4" spans="1:2" x14ac:dyDescent="0.3">
      <c r="A4" t="s">
        <v>117</v>
      </c>
      <c r="B4">
        <v>1</v>
      </c>
    </row>
    <row r="5" spans="1:2" x14ac:dyDescent="0.3">
      <c r="A5" t="s">
        <v>118</v>
      </c>
      <c r="B5">
        <v>1</v>
      </c>
    </row>
    <row r="6" spans="1:2" x14ac:dyDescent="0.3">
      <c r="A6" t="s">
        <v>119</v>
      </c>
      <c r="B6">
        <v>1</v>
      </c>
    </row>
    <row r="7" spans="1:2" x14ac:dyDescent="0.3">
      <c r="A7" t="s">
        <v>123</v>
      </c>
      <c r="B7">
        <v>10000</v>
      </c>
    </row>
    <row r="8" spans="1:2" x14ac:dyDescent="0.3">
      <c r="A8" t="s">
        <v>124</v>
      </c>
      <c r="B8">
        <v>10000</v>
      </c>
    </row>
    <row r="9" spans="1:2" x14ac:dyDescent="0.3">
      <c r="A9" t="s">
        <v>129</v>
      </c>
      <c r="B9">
        <v>0</v>
      </c>
    </row>
    <row r="10" spans="1:2" x14ac:dyDescent="0.3">
      <c r="A10" t="s">
        <v>130</v>
      </c>
      <c r="B10">
        <v>0</v>
      </c>
    </row>
    <row r="11" spans="1:2" x14ac:dyDescent="0.3">
      <c r="A11" t="s">
        <v>120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B16B-CDA9-46BD-BA51-731AA9327652}">
  <dimension ref="A1:P7"/>
  <sheetViews>
    <sheetView workbookViewId="0">
      <selection activeCell="O2" sqref="O2"/>
    </sheetView>
  </sheetViews>
  <sheetFormatPr defaultRowHeight="14.4" x14ac:dyDescent="0.3"/>
  <cols>
    <col min="1" max="1" width="5.5546875" bestFit="1" customWidth="1"/>
    <col min="2" max="2" width="13.5546875" bestFit="1" customWidth="1"/>
    <col min="3" max="3" width="7.88671875" bestFit="1" customWidth="1"/>
    <col min="4" max="4" width="6.109375" bestFit="1" customWidth="1"/>
    <col min="5" max="5" width="9.6640625" bestFit="1" customWidth="1"/>
    <col min="6" max="6" width="9.109375" bestFit="1" customWidth="1"/>
    <col min="7" max="7" width="10.109375" bestFit="1" customWidth="1"/>
    <col min="8" max="8" width="7.44140625" bestFit="1" customWidth="1"/>
    <col min="9" max="9" width="8.6640625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30</v>
      </c>
      <c r="E1" s="1" t="s">
        <v>6</v>
      </c>
      <c r="F1" s="1" t="s">
        <v>10</v>
      </c>
      <c r="G1" s="1" t="s">
        <v>3</v>
      </c>
      <c r="H1" s="1" t="s">
        <v>93</v>
      </c>
      <c r="I1" s="1" t="s">
        <v>4</v>
      </c>
      <c r="J1" s="1" t="s">
        <v>5</v>
      </c>
      <c r="K1" s="1" t="s">
        <v>61</v>
      </c>
      <c r="L1" s="1" t="s">
        <v>70</v>
      </c>
      <c r="M1" s="1" t="s">
        <v>121</v>
      </c>
      <c r="N1" s="1" t="s">
        <v>94</v>
      </c>
      <c r="O1" s="1" t="s">
        <v>126</v>
      </c>
      <c r="P1" s="1" t="s">
        <v>73</v>
      </c>
    </row>
    <row r="2" spans="1:16" x14ac:dyDescent="0.3">
      <c r="A2" t="s">
        <v>7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</v>
      </c>
      <c r="P2" s="2">
        <v>0</v>
      </c>
    </row>
    <row r="3" spans="1:16" x14ac:dyDescent="0.3">
      <c r="A3" t="s">
        <v>8</v>
      </c>
      <c r="B3" s="2">
        <v>0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0</v>
      </c>
    </row>
    <row r="4" spans="1:16" x14ac:dyDescent="0.3">
      <c r="A4" t="s">
        <v>9</v>
      </c>
      <c r="B4" s="2">
        <v>0</v>
      </c>
      <c r="C4" s="2">
        <v>1</v>
      </c>
      <c r="D4" s="2">
        <v>0</v>
      </c>
      <c r="E4" s="2">
        <v>0</v>
      </c>
      <c r="F4" s="2">
        <v>1</v>
      </c>
      <c r="G4" s="2">
        <v>10</v>
      </c>
      <c r="H4" s="2">
        <v>0</v>
      </c>
      <c r="I4" s="2">
        <v>3</v>
      </c>
      <c r="J4" s="2">
        <v>3</v>
      </c>
      <c r="K4" s="2">
        <v>10</v>
      </c>
      <c r="L4">
        <v>1E-3</v>
      </c>
      <c r="M4" s="2">
        <v>0</v>
      </c>
      <c r="N4" s="2">
        <v>0</v>
      </c>
      <c r="O4" s="2">
        <v>1</v>
      </c>
      <c r="P4" s="2">
        <v>0</v>
      </c>
    </row>
    <row r="5" spans="1:16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090B-02A9-43B7-8D03-9C18D42920EB}">
  <dimension ref="A1:Q5"/>
  <sheetViews>
    <sheetView workbookViewId="0">
      <selection activeCell="P3" sqref="P3"/>
    </sheetView>
  </sheetViews>
  <sheetFormatPr defaultRowHeight="14.4" x14ac:dyDescent="0.3"/>
  <cols>
    <col min="1" max="1" width="12.6640625" customWidth="1"/>
    <col min="2" max="2" width="5" bestFit="1" customWidth="1"/>
    <col min="3" max="3" width="8.33203125" bestFit="1" customWidth="1"/>
    <col min="5" max="5" width="6.109375" bestFit="1" customWidth="1"/>
    <col min="6" max="6" width="10.6640625" customWidth="1"/>
    <col min="7" max="7" width="5" bestFit="1" customWidth="1"/>
    <col min="8" max="8" width="9.33203125" bestFit="1" customWidth="1"/>
    <col min="9" max="10" width="9.5546875" bestFit="1" customWidth="1"/>
    <col min="11" max="11" width="11.109375" bestFit="1" customWidth="1"/>
    <col min="12" max="12" width="11.44140625" bestFit="1" customWidth="1"/>
    <col min="13" max="14" width="11.44140625" customWidth="1"/>
  </cols>
  <sheetData>
    <row r="1" spans="1:17" s="1" customFormat="1" x14ac:dyDescent="0.3">
      <c r="A1" s="1" t="s">
        <v>12</v>
      </c>
      <c r="B1" s="1" t="s">
        <v>13</v>
      </c>
      <c r="C1" s="1" t="s">
        <v>52</v>
      </c>
      <c r="D1" s="1" t="s">
        <v>14</v>
      </c>
      <c r="E1" s="1" t="s">
        <v>30</v>
      </c>
      <c r="F1" s="1" t="s">
        <v>17</v>
      </c>
      <c r="G1" s="1" t="s">
        <v>16</v>
      </c>
      <c r="H1" s="1" t="s">
        <v>19</v>
      </c>
      <c r="I1" s="1" t="s">
        <v>18</v>
      </c>
      <c r="J1" s="1" t="s">
        <v>42</v>
      </c>
      <c r="K1" s="1" t="s">
        <v>45</v>
      </c>
      <c r="L1" s="1" t="s">
        <v>46</v>
      </c>
      <c r="M1" s="1" t="s">
        <v>78</v>
      </c>
      <c r="N1" s="1" t="s">
        <v>79</v>
      </c>
      <c r="O1" s="1" t="s">
        <v>61</v>
      </c>
      <c r="P1" s="1" t="s">
        <v>122</v>
      </c>
      <c r="Q1" s="1" t="s">
        <v>64</v>
      </c>
    </row>
    <row r="2" spans="1:17" x14ac:dyDescent="0.3">
      <c r="A2" t="s">
        <v>22</v>
      </c>
      <c r="B2" s="2">
        <v>0</v>
      </c>
      <c r="C2" s="2">
        <v>0</v>
      </c>
      <c r="D2" s="2">
        <v>0</v>
      </c>
      <c r="E2" s="2">
        <v>1</v>
      </c>
      <c r="F2" s="2">
        <v>1</v>
      </c>
      <c r="G2" s="2">
        <v>0.9</v>
      </c>
      <c r="H2" s="2">
        <v>0</v>
      </c>
      <c r="I2" s="2">
        <v>1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 x14ac:dyDescent="0.3">
      <c r="A3" t="s">
        <v>23</v>
      </c>
      <c r="B3" s="2">
        <v>0</v>
      </c>
      <c r="C3" s="2">
        <v>0</v>
      </c>
      <c r="D3" s="2">
        <v>0</v>
      </c>
      <c r="E3" s="2">
        <v>0</v>
      </c>
      <c r="F3" s="2">
        <v>1</v>
      </c>
      <c r="G3" s="2">
        <v>3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 x14ac:dyDescent="0.3">
      <c r="A4" t="s">
        <v>24</v>
      </c>
      <c r="B4" s="2">
        <v>1</v>
      </c>
      <c r="C4" s="2">
        <v>1</v>
      </c>
      <c r="D4" s="2">
        <v>0</v>
      </c>
      <c r="E4" s="2">
        <v>0</v>
      </c>
      <c r="F4" s="2">
        <v>1</v>
      </c>
      <c r="G4" s="2">
        <v>1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B83A-95ED-43FB-AC05-C8A15D3323E5}">
  <dimension ref="A1:C4"/>
  <sheetViews>
    <sheetView workbookViewId="0">
      <selection activeCell="A2" sqref="A2"/>
    </sheetView>
  </sheetViews>
  <sheetFormatPr defaultRowHeight="14.4" x14ac:dyDescent="0.3"/>
  <sheetData>
    <row r="1" spans="1:3" x14ac:dyDescent="0.3">
      <c r="A1" s="1" t="s">
        <v>128</v>
      </c>
      <c r="B1" s="1" t="s">
        <v>80</v>
      </c>
      <c r="C1" s="1" t="s">
        <v>81</v>
      </c>
    </row>
    <row r="2" spans="1:3" x14ac:dyDescent="0.3">
      <c r="A2" t="s">
        <v>12</v>
      </c>
      <c r="B2" t="s">
        <v>22</v>
      </c>
      <c r="C2" t="s">
        <v>89</v>
      </c>
    </row>
    <row r="3" spans="1:3" x14ac:dyDescent="0.3">
      <c r="A3" t="s">
        <v>12</v>
      </c>
      <c r="B3" t="s">
        <v>23</v>
      </c>
      <c r="C3" t="s">
        <v>112</v>
      </c>
    </row>
    <row r="4" spans="1:3" x14ac:dyDescent="0.3">
      <c r="A4" t="s">
        <v>0</v>
      </c>
      <c r="B4" t="s">
        <v>8</v>
      </c>
      <c r="C4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106B-D567-41FC-8E91-2B4CC5EC9B59}">
  <dimension ref="A1:K1"/>
  <sheetViews>
    <sheetView workbookViewId="0">
      <selection activeCell="A2" sqref="A2:XFD3"/>
    </sheetView>
  </sheetViews>
  <sheetFormatPr defaultRowHeight="14.4" x14ac:dyDescent="0.3"/>
  <sheetData>
    <row r="1" spans="1:11" s="1" customFormat="1" x14ac:dyDescent="0.3">
      <c r="A1" s="1" t="s">
        <v>12</v>
      </c>
      <c r="B1" s="1">
        <v>1</v>
      </c>
      <c r="C1" s="1">
        <f>B1+1</f>
        <v>2</v>
      </c>
      <c r="D1" s="1">
        <f t="shared" ref="D1:K1" si="0">C1+1</f>
        <v>3</v>
      </c>
      <c r="E1" s="1">
        <f t="shared" si="0"/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si="0"/>
        <v>8</v>
      </c>
      <c r="J1" s="1">
        <f t="shared" si="0"/>
        <v>9</v>
      </c>
      <c r="K1" s="1">
        <f t="shared" si="0"/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A8A7-FD76-4891-A53C-CBB095359118}">
  <dimension ref="A1:L8"/>
  <sheetViews>
    <sheetView workbookViewId="0">
      <selection activeCell="H14" sqref="H14"/>
    </sheetView>
  </sheetViews>
  <sheetFormatPr defaultColWidth="9.109375" defaultRowHeight="14.4" x14ac:dyDescent="0.3"/>
  <cols>
    <col min="1" max="1" width="7.6640625" bestFit="1" customWidth="1"/>
    <col min="2" max="2" width="11.44140625" bestFit="1" customWidth="1"/>
    <col min="3" max="3" width="5.5546875" bestFit="1" customWidth="1"/>
    <col min="4" max="4" width="16.44140625" bestFit="1" customWidth="1"/>
    <col min="5" max="5" width="8.109375" bestFit="1" customWidth="1"/>
    <col min="6" max="6" width="10.109375" bestFit="1" customWidth="1"/>
    <col min="7" max="7" width="8.88671875" bestFit="1" customWidth="1"/>
    <col min="8" max="8" width="11.5546875" bestFit="1" customWidth="1"/>
  </cols>
  <sheetData>
    <row r="1" spans="1:12" s="1" customFormat="1" x14ac:dyDescent="0.3">
      <c r="A1" s="1" t="s">
        <v>12</v>
      </c>
      <c r="B1" s="1" t="s">
        <v>26</v>
      </c>
      <c r="C1" s="1" t="s">
        <v>0</v>
      </c>
      <c r="D1" s="1" t="s">
        <v>31</v>
      </c>
      <c r="E1" s="1" t="s">
        <v>15</v>
      </c>
      <c r="F1" s="1" t="s">
        <v>125</v>
      </c>
      <c r="G1" s="1" t="s">
        <v>21</v>
      </c>
      <c r="H1" s="1" t="s">
        <v>20</v>
      </c>
      <c r="I1" s="1" t="s">
        <v>113</v>
      </c>
      <c r="J1" s="1" t="s">
        <v>114</v>
      </c>
      <c r="L1"/>
    </row>
    <row r="2" spans="1:12" x14ac:dyDescent="0.3">
      <c r="A2" t="s">
        <v>22</v>
      </c>
      <c r="B2" t="s">
        <v>25</v>
      </c>
      <c r="C2" t="s">
        <v>7</v>
      </c>
      <c r="D2">
        <v>1</v>
      </c>
      <c r="E2">
        <v>20</v>
      </c>
      <c r="F2">
        <v>0</v>
      </c>
      <c r="G2">
        <v>1</v>
      </c>
      <c r="H2">
        <v>1</v>
      </c>
      <c r="I2">
        <v>0.7</v>
      </c>
      <c r="J2">
        <v>0.7</v>
      </c>
    </row>
    <row r="3" spans="1:12" x14ac:dyDescent="0.3">
      <c r="A3" t="s">
        <v>22</v>
      </c>
      <c r="B3" t="s">
        <v>27</v>
      </c>
      <c r="C3" t="s">
        <v>9</v>
      </c>
      <c r="D3">
        <v>1</v>
      </c>
      <c r="E3">
        <v>10</v>
      </c>
      <c r="F3">
        <v>0</v>
      </c>
      <c r="G3">
        <v>1</v>
      </c>
      <c r="H3">
        <v>1</v>
      </c>
      <c r="I3">
        <v>0.7</v>
      </c>
      <c r="J3">
        <v>0.7</v>
      </c>
    </row>
    <row r="4" spans="1:12" x14ac:dyDescent="0.3">
      <c r="A4" t="s">
        <v>22</v>
      </c>
      <c r="B4" t="s">
        <v>27</v>
      </c>
      <c r="C4" t="s">
        <v>8</v>
      </c>
      <c r="D4">
        <v>1</v>
      </c>
      <c r="E4">
        <v>8</v>
      </c>
      <c r="F4">
        <v>0</v>
      </c>
      <c r="G4">
        <v>1</v>
      </c>
      <c r="H4">
        <v>1</v>
      </c>
      <c r="I4">
        <v>0.7</v>
      </c>
      <c r="J4">
        <v>0.7</v>
      </c>
    </row>
    <row r="5" spans="1:12" x14ac:dyDescent="0.3">
      <c r="A5" t="s">
        <v>23</v>
      </c>
      <c r="B5" t="s">
        <v>25</v>
      </c>
      <c r="C5" t="s">
        <v>8</v>
      </c>
      <c r="D5">
        <v>1</v>
      </c>
      <c r="E5">
        <v>5</v>
      </c>
      <c r="F5">
        <v>0</v>
      </c>
      <c r="G5">
        <v>1</v>
      </c>
      <c r="H5">
        <v>1</v>
      </c>
      <c r="I5">
        <v>0.7</v>
      </c>
      <c r="J5">
        <v>0.7</v>
      </c>
    </row>
    <row r="6" spans="1:12" x14ac:dyDescent="0.3">
      <c r="A6" t="s">
        <v>23</v>
      </c>
      <c r="B6" t="s">
        <v>27</v>
      </c>
      <c r="C6" t="s">
        <v>9</v>
      </c>
      <c r="D6">
        <v>1</v>
      </c>
      <c r="E6">
        <v>15</v>
      </c>
      <c r="F6">
        <v>0</v>
      </c>
      <c r="G6">
        <v>1</v>
      </c>
      <c r="H6">
        <v>1</v>
      </c>
      <c r="I6">
        <v>0.7</v>
      </c>
      <c r="J6">
        <v>0.7</v>
      </c>
    </row>
    <row r="7" spans="1:12" x14ac:dyDescent="0.3">
      <c r="A7" t="s">
        <v>24</v>
      </c>
      <c r="B7" t="s">
        <v>27</v>
      </c>
      <c r="C7" t="s">
        <v>8</v>
      </c>
      <c r="D7">
        <v>1</v>
      </c>
      <c r="E7">
        <v>5</v>
      </c>
      <c r="F7">
        <v>0</v>
      </c>
      <c r="G7">
        <v>1</v>
      </c>
      <c r="H7">
        <v>1</v>
      </c>
      <c r="I7">
        <v>0.7</v>
      </c>
      <c r="J7">
        <v>0.7</v>
      </c>
    </row>
    <row r="8" spans="1:12" x14ac:dyDescent="0.3">
      <c r="A8" t="s">
        <v>51</v>
      </c>
      <c r="B8" t="s">
        <v>27</v>
      </c>
      <c r="C8" t="s">
        <v>8</v>
      </c>
      <c r="D8">
        <v>1</v>
      </c>
      <c r="E8">
        <v>5</v>
      </c>
      <c r="F8">
        <v>0</v>
      </c>
      <c r="G8">
        <v>1</v>
      </c>
      <c r="H8">
        <v>1</v>
      </c>
      <c r="I8">
        <v>0.7</v>
      </c>
      <c r="J8">
        <v>0.7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F404-3743-47D7-AC45-7AE3A9FB796E}">
  <dimension ref="A1:A25"/>
  <sheetViews>
    <sheetView workbookViewId="0">
      <selection sqref="A1:A1048576"/>
    </sheetView>
  </sheetViews>
  <sheetFormatPr defaultRowHeight="14.4" x14ac:dyDescent="0.3"/>
  <cols>
    <col min="1" max="1" width="19.33203125" style="3" customWidth="1"/>
  </cols>
  <sheetData>
    <row r="1" spans="1:1" x14ac:dyDescent="0.3">
      <c r="A1" s="1" t="s">
        <v>28</v>
      </c>
    </row>
    <row r="2" spans="1:1" x14ac:dyDescent="0.3">
      <c r="A2" s="3">
        <f>IF(timeseries!A2&lt;&gt;"",timeseries!A2,"")</f>
        <v>44624</v>
      </c>
    </row>
    <row r="3" spans="1:1" x14ac:dyDescent="0.3">
      <c r="A3" s="3">
        <f>IF(timeseries!A3&lt;&gt;"",timeseries!A3,"")</f>
        <v>44624.010416666664</v>
      </c>
    </row>
    <row r="4" spans="1:1" x14ac:dyDescent="0.3">
      <c r="A4" s="3">
        <f>IF(timeseries!A4&lt;&gt;"",timeseries!A4,"")</f>
        <v>44624.020833333336</v>
      </c>
    </row>
    <row r="5" spans="1:1" x14ac:dyDescent="0.3">
      <c r="A5" s="3">
        <f>IF(timeseries!A5&lt;&gt;"",timeseries!A5,"")</f>
        <v>44624.03125</v>
      </c>
    </row>
    <row r="6" spans="1:1" x14ac:dyDescent="0.3">
      <c r="A6" s="3">
        <f>IF(timeseries!A6&lt;&gt;"",timeseries!A6,"")</f>
        <v>44624.041666666664</v>
      </c>
    </row>
    <row r="7" spans="1:1" x14ac:dyDescent="0.3">
      <c r="A7" s="3">
        <f>IF(timeseries!A7&lt;&gt;"",timeseries!A7,"")</f>
        <v>44624.083333333336</v>
      </c>
    </row>
    <row r="8" spans="1:1" x14ac:dyDescent="0.3">
      <c r="A8" s="3">
        <f>IF(timeseries!A8&lt;&gt;"",timeseries!A8,"")</f>
        <v>44624.125</v>
      </c>
    </row>
    <row r="9" spans="1:1" x14ac:dyDescent="0.3">
      <c r="A9" s="3">
        <f>IF(timeseries!A9&lt;&gt;"",timeseries!A9,"")</f>
        <v>44624.291666666664</v>
      </c>
    </row>
    <row r="10" spans="1:1" x14ac:dyDescent="0.3">
      <c r="A10" s="3">
        <f>IF(timeseries!A10&lt;&gt;"",timeseries!A10,"")</f>
        <v>44624.458333333336</v>
      </c>
    </row>
    <row r="11" spans="1:1" x14ac:dyDescent="0.3">
      <c r="A11" s="3" t="str">
        <f>IF(timeseries!A11&lt;&gt;"",timeseries!A11,"")</f>
        <v/>
      </c>
    </row>
    <row r="12" spans="1:1" x14ac:dyDescent="0.3">
      <c r="A12" s="3" t="str">
        <f>IF(timeseries!A12&lt;&gt;"",timeseries!A12,"")</f>
        <v/>
      </c>
    </row>
    <row r="13" spans="1:1" x14ac:dyDescent="0.3">
      <c r="A13" s="3" t="str">
        <f>IF(timeseries!A13&lt;&gt;"",timeseries!A13,"")</f>
        <v/>
      </c>
    </row>
    <row r="14" spans="1:1" x14ac:dyDescent="0.3">
      <c r="A14" s="3" t="str">
        <f>IF(timeseries!A14&lt;&gt;"",timeseries!A14,"")</f>
        <v/>
      </c>
    </row>
    <row r="15" spans="1:1" x14ac:dyDescent="0.3">
      <c r="A15" s="3" t="str">
        <f>IF(timeseries!A15&lt;&gt;"",timeseries!A15,"")</f>
        <v/>
      </c>
    </row>
    <row r="16" spans="1:1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7A19-79B8-46BB-9B8D-DDA080BD4E36}">
  <dimension ref="A1:E1"/>
  <sheetViews>
    <sheetView workbookViewId="0">
      <selection activeCell="A2" sqref="A2"/>
    </sheetView>
  </sheetViews>
  <sheetFormatPr defaultRowHeight="14.4" x14ac:dyDescent="0.3"/>
  <cols>
    <col min="1" max="2" width="6.33203125" bestFit="1" customWidth="1"/>
    <col min="3" max="3" width="7.33203125" bestFit="1" customWidth="1"/>
    <col min="5" max="5" width="9.33203125" bestFit="1" customWidth="1"/>
  </cols>
  <sheetData>
    <row r="1" spans="1:5" s="1" customFormat="1" x14ac:dyDescent="0.3">
      <c r="A1" s="1" t="s">
        <v>91</v>
      </c>
      <c r="B1" s="1" t="s">
        <v>92</v>
      </c>
      <c r="C1" s="1" t="s">
        <v>95</v>
      </c>
      <c r="D1" s="1" t="s">
        <v>96</v>
      </c>
      <c r="E1" s="1" t="s">
        <v>97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5BEF-1F4B-494A-B089-4FCDFFFA57F7}">
  <dimension ref="A1:C25"/>
  <sheetViews>
    <sheetView workbookViewId="0">
      <selection activeCell="A7" sqref="A7"/>
    </sheetView>
  </sheetViews>
  <sheetFormatPr defaultRowHeight="14.4" x14ac:dyDescent="0.3"/>
  <cols>
    <col min="1" max="1" width="19.33203125" style="3" customWidth="1"/>
  </cols>
  <sheetData>
    <row r="1" spans="1:3" x14ac:dyDescent="0.3">
      <c r="A1" s="1" t="s">
        <v>28</v>
      </c>
      <c r="B1" s="1"/>
      <c r="C1" s="1"/>
    </row>
    <row r="2" spans="1:3" x14ac:dyDescent="0.3">
      <c r="A2" s="3">
        <f>IF(timeseries!A2&lt;&gt;"",timeseries!A2,"")</f>
        <v>44624</v>
      </c>
    </row>
    <row r="3" spans="1:3" x14ac:dyDescent="0.3">
      <c r="A3" s="3">
        <f>IF(timeseries!A3&lt;&gt;"",timeseries!A3,"")</f>
        <v>44624.010416666664</v>
      </c>
    </row>
    <row r="4" spans="1:3" x14ac:dyDescent="0.3">
      <c r="A4" s="3">
        <f>IF(timeseries!A4&lt;&gt;"",timeseries!A4,"")</f>
        <v>44624.020833333336</v>
      </c>
    </row>
    <row r="5" spans="1:3" x14ac:dyDescent="0.3">
      <c r="A5" s="3">
        <f>IF(timeseries!A5&lt;&gt;"",timeseries!A5,"")</f>
        <v>44624.03125</v>
      </c>
    </row>
    <row r="6" spans="1:3" x14ac:dyDescent="0.3">
      <c r="A6" s="3">
        <f>IF(timeseries!A6&lt;&gt;"",timeseries!A6,"")</f>
        <v>44624.041666666664</v>
      </c>
    </row>
    <row r="7" spans="1:3" x14ac:dyDescent="0.3">
      <c r="A7" s="3">
        <f>IF(timeseries!A7&lt;&gt;"",timeseries!A7,"")</f>
        <v>44624.083333333336</v>
      </c>
    </row>
    <row r="8" spans="1:3" x14ac:dyDescent="0.3">
      <c r="A8" s="3">
        <f>IF(timeseries!A8&lt;&gt;"",timeseries!A8,"")</f>
        <v>44624.125</v>
      </c>
    </row>
    <row r="9" spans="1:3" x14ac:dyDescent="0.3">
      <c r="A9" s="3">
        <f>IF(timeseries!A9&lt;&gt;"",timeseries!A9,"")</f>
        <v>44624.291666666664</v>
      </c>
    </row>
    <row r="10" spans="1:3" x14ac:dyDescent="0.3">
      <c r="A10" s="3">
        <f>IF(timeseries!A10&lt;&gt;"",timeseries!A10,"")</f>
        <v>44624.458333333336</v>
      </c>
    </row>
    <row r="11" spans="1:3" x14ac:dyDescent="0.3">
      <c r="A11" s="3" t="str">
        <f>IF(timeseries!A11&lt;&gt;"",timeseries!A11,"")</f>
        <v/>
      </c>
    </row>
    <row r="12" spans="1:3" x14ac:dyDescent="0.3">
      <c r="A12" s="3" t="str">
        <f>IF(timeseries!A12&lt;&gt;"",timeseries!A12,"")</f>
        <v/>
      </c>
    </row>
    <row r="13" spans="1:3" x14ac:dyDescent="0.3">
      <c r="A13" s="3" t="str">
        <f>IF(timeseries!A13&lt;&gt;"",timeseries!A13,"")</f>
        <v/>
      </c>
    </row>
    <row r="14" spans="1:3" x14ac:dyDescent="0.3">
      <c r="A14" s="3" t="str">
        <f>IF(timeseries!A14&lt;&gt;"",timeseries!A14,"")</f>
        <v/>
      </c>
    </row>
    <row r="15" spans="1:3" x14ac:dyDescent="0.3">
      <c r="A15" s="3" t="str">
        <f>IF(timeseries!A15&lt;&gt;"",timeseries!A15,"")</f>
        <v/>
      </c>
    </row>
    <row r="16" spans="1:3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2F8A-0FB4-47AD-98A1-4065D3376432}">
  <dimension ref="A1:B2"/>
  <sheetViews>
    <sheetView workbookViewId="0">
      <selection activeCell="A2" sqref="A2"/>
    </sheetView>
  </sheetViews>
  <sheetFormatPr defaultRowHeight="14.4" x14ac:dyDescent="0.3"/>
  <sheetData>
    <row r="1" spans="1:2" s="1" customFormat="1" x14ac:dyDescent="0.3">
      <c r="A1" s="1" t="s">
        <v>49</v>
      </c>
      <c r="B1" s="1" t="s">
        <v>47</v>
      </c>
    </row>
    <row r="2" spans="1:2" x14ac:dyDescent="0.3">
      <c r="A2" t="s">
        <v>48</v>
      </c>
      <c r="B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637A-7829-48D6-AE54-2E654AB1A427}">
  <dimension ref="A1:I25"/>
  <sheetViews>
    <sheetView workbookViewId="0">
      <selection activeCell="G9" sqref="G9"/>
    </sheetView>
  </sheetViews>
  <sheetFormatPr defaultRowHeight="14.4" x14ac:dyDescent="0.3"/>
  <cols>
    <col min="1" max="1" width="19.33203125" style="3" customWidth="1"/>
    <col min="3" max="3" width="23.109375" customWidth="1"/>
    <col min="9" max="9" width="12.109375" bestFit="1" customWidth="1"/>
  </cols>
  <sheetData>
    <row r="1" spans="1:9" s="1" customFormat="1" x14ac:dyDescent="0.3">
      <c r="A1" s="1" t="s">
        <v>28</v>
      </c>
      <c r="B1" s="1" t="s">
        <v>103</v>
      </c>
      <c r="C1" s="1" t="s">
        <v>108</v>
      </c>
    </row>
    <row r="2" spans="1:9" x14ac:dyDescent="0.3">
      <c r="A2" s="3">
        <f>IF(timeseries!A2&lt;&gt;"",timeseries!A2,"")</f>
        <v>44624</v>
      </c>
      <c r="B2">
        <v>0</v>
      </c>
      <c r="C2">
        <v>1</v>
      </c>
      <c r="I2" s="3"/>
    </row>
    <row r="3" spans="1:9" x14ac:dyDescent="0.3">
      <c r="A3" s="3">
        <f>IF(timeseries!A3&lt;&gt;"",timeseries!A3,"")</f>
        <v>44624.010416666664</v>
      </c>
      <c r="B3">
        <v>0.4</v>
      </c>
      <c r="C3">
        <v>0.5</v>
      </c>
    </row>
    <row r="4" spans="1:9" x14ac:dyDescent="0.3">
      <c r="A4" s="3">
        <f>IF(timeseries!A4&lt;&gt;"",timeseries!A4,"")</f>
        <v>44624.020833333336</v>
      </c>
      <c r="B4">
        <v>0.5</v>
      </c>
      <c r="C4">
        <v>1</v>
      </c>
    </row>
    <row r="5" spans="1:9" x14ac:dyDescent="0.3">
      <c r="A5" s="3">
        <f>IF(timeseries!A5&lt;&gt;"",timeseries!A5,"")</f>
        <v>44624.03125</v>
      </c>
      <c r="B5">
        <v>0</v>
      </c>
      <c r="C5">
        <v>0.6</v>
      </c>
    </row>
    <row r="6" spans="1:9" x14ac:dyDescent="0.3">
      <c r="A6" s="3">
        <f>IF(timeseries!A6&lt;&gt;"",timeseries!A6,"")</f>
        <v>44624.041666666664</v>
      </c>
      <c r="B6">
        <v>0.8</v>
      </c>
      <c r="C6">
        <v>0.9</v>
      </c>
    </row>
    <row r="7" spans="1:9" x14ac:dyDescent="0.3">
      <c r="A7" s="3">
        <f>IF(timeseries!A7&lt;&gt;"",timeseries!A7,"")</f>
        <v>44624.083333333336</v>
      </c>
      <c r="B7">
        <v>1</v>
      </c>
      <c r="C7">
        <v>0.3</v>
      </c>
    </row>
    <row r="8" spans="1:9" x14ac:dyDescent="0.3">
      <c r="A8" s="3">
        <f>IF(timeseries!A8&lt;&gt;"",timeseries!A8,"")</f>
        <v>44624.125</v>
      </c>
      <c r="B8">
        <v>0.1</v>
      </c>
      <c r="C8">
        <v>0.3</v>
      </c>
    </row>
    <row r="9" spans="1:9" x14ac:dyDescent="0.3">
      <c r="A9" s="3">
        <f>IF(timeseries!A9&lt;&gt;"",timeseries!A9,"")</f>
        <v>44624.291666666664</v>
      </c>
      <c r="B9">
        <v>0.6</v>
      </c>
      <c r="C9">
        <v>0.9</v>
      </c>
    </row>
    <row r="10" spans="1:9" x14ac:dyDescent="0.3">
      <c r="A10" s="3">
        <f>IF(timeseries!A10&lt;&gt;"",timeseries!A10,"")</f>
        <v>44624.458333333336</v>
      </c>
      <c r="B10">
        <v>0.4</v>
      </c>
      <c r="C10">
        <v>0.6</v>
      </c>
    </row>
    <row r="11" spans="1:9" x14ac:dyDescent="0.3">
      <c r="A11" s="3" t="str">
        <f>IF(timeseries!A11&lt;&gt;"",timeseries!A11,"")</f>
        <v/>
      </c>
      <c r="C11" s="3"/>
    </row>
    <row r="12" spans="1:9" x14ac:dyDescent="0.3">
      <c r="A12" s="3" t="str">
        <f>IF(timeseries!A12&lt;&gt;"",timeseries!A12,"")</f>
        <v/>
      </c>
    </row>
    <row r="13" spans="1:9" x14ac:dyDescent="0.3">
      <c r="A13" s="3" t="str">
        <f>IF(timeseries!A13&lt;&gt;"",timeseries!A13,"")</f>
        <v/>
      </c>
    </row>
    <row r="14" spans="1:9" x14ac:dyDescent="0.3">
      <c r="A14" s="3" t="str">
        <f>IF(timeseries!A14&lt;&gt;"",timeseries!A14,"")</f>
        <v/>
      </c>
    </row>
    <row r="15" spans="1:9" x14ac:dyDescent="0.3">
      <c r="A15" s="3" t="str">
        <f>IF(timeseries!A15&lt;&gt;"",timeseries!A15,"")</f>
        <v/>
      </c>
    </row>
    <row r="16" spans="1:9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DD44-A1AD-4241-AED7-C48CC9DEE2E2}">
  <dimension ref="A1:C25"/>
  <sheetViews>
    <sheetView workbookViewId="0">
      <selection activeCell="A2" sqref="A2:C10"/>
    </sheetView>
  </sheetViews>
  <sheetFormatPr defaultRowHeight="14.4" x14ac:dyDescent="0.3"/>
  <cols>
    <col min="1" max="1" width="19.33203125" style="3" customWidth="1"/>
  </cols>
  <sheetData>
    <row r="1" spans="1:3" s="1" customFormat="1" x14ac:dyDescent="0.3">
      <c r="A1" s="1" t="s">
        <v>28</v>
      </c>
      <c r="B1" s="1" t="s">
        <v>101</v>
      </c>
      <c r="C1" s="1" t="s">
        <v>102</v>
      </c>
    </row>
    <row r="2" spans="1:3" x14ac:dyDescent="0.3">
      <c r="A2" s="3">
        <f>IF(timeseries!A2&lt;&gt;"",timeseries!A2,"")</f>
        <v>44624</v>
      </c>
      <c r="B2">
        <v>-5</v>
      </c>
      <c r="C2">
        <v>-4</v>
      </c>
    </row>
    <row r="3" spans="1:3" x14ac:dyDescent="0.3">
      <c r="A3" s="3">
        <f>IF(timeseries!A3&lt;&gt;"",timeseries!A3,"")</f>
        <v>44624.010416666664</v>
      </c>
      <c r="B3">
        <v>-5</v>
      </c>
      <c r="C3">
        <v>-10</v>
      </c>
    </row>
    <row r="4" spans="1:3" x14ac:dyDescent="0.3">
      <c r="A4" s="3">
        <f>IF(timeseries!A4&lt;&gt;"",timeseries!A4,"")</f>
        <v>44624.020833333336</v>
      </c>
      <c r="B4">
        <v>-4</v>
      </c>
      <c r="C4">
        <v>-7</v>
      </c>
    </row>
    <row r="5" spans="1:3" x14ac:dyDescent="0.3">
      <c r="A5" s="3">
        <f>IF(timeseries!A5&lt;&gt;"",timeseries!A5,"")</f>
        <v>44624.03125</v>
      </c>
      <c r="B5">
        <v>-2</v>
      </c>
      <c r="C5">
        <v>-11</v>
      </c>
    </row>
    <row r="6" spans="1:3" x14ac:dyDescent="0.3">
      <c r="A6" s="3">
        <f>IF(timeseries!A6&lt;&gt;"",timeseries!A6,"")</f>
        <v>44624.041666666664</v>
      </c>
      <c r="B6">
        <v>-7</v>
      </c>
      <c r="C6">
        <v>-1</v>
      </c>
    </row>
    <row r="7" spans="1:3" x14ac:dyDescent="0.3">
      <c r="A7" s="3">
        <f>IF(timeseries!A7&lt;&gt;"",timeseries!A7,"")</f>
        <v>44624.083333333336</v>
      </c>
      <c r="B7">
        <v>-5</v>
      </c>
      <c r="C7">
        <v>-2</v>
      </c>
    </row>
    <row r="8" spans="1:3" x14ac:dyDescent="0.3">
      <c r="A8" s="3">
        <f>IF(timeseries!A8&lt;&gt;"",timeseries!A8,"")</f>
        <v>44624.125</v>
      </c>
      <c r="B8">
        <v>-14</v>
      </c>
      <c r="C8">
        <v>-13</v>
      </c>
    </row>
    <row r="9" spans="1:3" x14ac:dyDescent="0.3">
      <c r="A9" s="3">
        <f>IF(timeseries!A9&lt;&gt;"",timeseries!A9,"")</f>
        <v>44624.291666666664</v>
      </c>
      <c r="B9">
        <v>-20</v>
      </c>
      <c r="C9">
        <v>-19</v>
      </c>
    </row>
    <row r="10" spans="1:3" x14ac:dyDescent="0.3">
      <c r="A10" s="3">
        <f>IF(timeseries!A10&lt;&gt;"",timeseries!A10,"")</f>
        <v>44624.458333333336</v>
      </c>
      <c r="B10">
        <v>-13</v>
      </c>
      <c r="C10">
        <v>-20</v>
      </c>
    </row>
    <row r="11" spans="1:3" x14ac:dyDescent="0.3">
      <c r="A11" s="3" t="str">
        <f>IF(timeseries!A11&lt;&gt;"",timeseries!A11,"")</f>
        <v/>
      </c>
    </row>
    <row r="12" spans="1:3" x14ac:dyDescent="0.3">
      <c r="A12" s="3" t="str">
        <f>IF(timeseries!A12&lt;&gt;"",timeseries!A12,"")</f>
        <v/>
      </c>
    </row>
    <row r="13" spans="1:3" x14ac:dyDescent="0.3">
      <c r="A13" s="3" t="str">
        <f>IF(timeseries!A13&lt;&gt;"",timeseries!A13,"")</f>
        <v/>
      </c>
    </row>
    <row r="14" spans="1:3" x14ac:dyDescent="0.3">
      <c r="A14" s="3" t="str">
        <f>IF(timeseries!A14&lt;&gt;"",timeseries!A14,"")</f>
        <v/>
      </c>
    </row>
    <row r="15" spans="1:3" x14ac:dyDescent="0.3">
      <c r="A15" s="3" t="str">
        <f>IF(timeseries!A15&lt;&gt;"",timeseries!A15,"")</f>
        <v/>
      </c>
    </row>
    <row r="16" spans="1:3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D40C-3F1E-4DCA-B153-EDE213641CC0}">
  <dimension ref="A1:F17"/>
  <sheetViews>
    <sheetView workbookViewId="0">
      <selection sqref="A1:A1048576"/>
    </sheetView>
  </sheetViews>
  <sheetFormatPr defaultRowHeight="14.4" x14ac:dyDescent="0.3"/>
  <cols>
    <col min="3" max="6" width="13.33203125" bestFit="1" customWidth="1"/>
    <col min="7" max="7" width="13.6640625" customWidth="1"/>
  </cols>
  <sheetData>
    <row r="1" spans="1:6" x14ac:dyDescent="0.3">
      <c r="A1" t="s">
        <v>28</v>
      </c>
    </row>
    <row r="2" spans="1:6" x14ac:dyDescent="0.3">
      <c r="A2">
        <v>1</v>
      </c>
      <c r="C2" s="3"/>
      <c r="E2" s="3"/>
    </row>
    <row r="3" spans="1:6" x14ac:dyDescent="0.3">
      <c r="A3">
        <v>2</v>
      </c>
      <c r="C3" s="3"/>
      <c r="E3" s="3"/>
    </row>
    <row r="4" spans="1:6" x14ac:dyDescent="0.3">
      <c r="A4">
        <v>3</v>
      </c>
      <c r="C4" s="3"/>
      <c r="E4" s="3"/>
    </row>
    <row r="5" spans="1:6" x14ac:dyDescent="0.3">
      <c r="A5">
        <v>4</v>
      </c>
      <c r="C5" s="3"/>
      <c r="E5" s="3"/>
    </row>
    <row r="6" spans="1:6" x14ac:dyDescent="0.3">
      <c r="A6">
        <v>5</v>
      </c>
    </row>
    <row r="7" spans="1:6" x14ac:dyDescent="0.3">
      <c r="A7">
        <v>6</v>
      </c>
    </row>
    <row r="8" spans="1:6" x14ac:dyDescent="0.3">
      <c r="A8">
        <v>7</v>
      </c>
    </row>
    <row r="9" spans="1:6" x14ac:dyDescent="0.3">
      <c r="A9">
        <v>8</v>
      </c>
    </row>
    <row r="10" spans="1:6" x14ac:dyDescent="0.3">
      <c r="A10">
        <v>9</v>
      </c>
    </row>
    <row r="11" spans="1:6" x14ac:dyDescent="0.3">
      <c r="A11">
        <v>10</v>
      </c>
    </row>
    <row r="15" spans="1:6" x14ac:dyDescent="0.3">
      <c r="C15" s="3"/>
      <c r="D15" s="3"/>
      <c r="E15" s="3"/>
      <c r="F15" s="3"/>
    </row>
    <row r="17" spans="3:6" x14ac:dyDescent="0.3">
      <c r="C17" s="3"/>
      <c r="D17" s="3"/>
      <c r="E17" s="3"/>
      <c r="F17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AE62-FD1F-4244-B775-8F3666402775}">
  <dimension ref="A1:G1"/>
  <sheetViews>
    <sheetView tabSelected="1" workbookViewId="0">
      <selection activeCell="G1" sqref="G1"/>
    </sheetView>
  </sheetViews>
  <sheetFormatPr defaultRowHeight="14.4" x14ac:dyDescent="0.3"/>
  <cols>
    <col min="1" max="1" width="12.44140625" bestFit="1" customWidth="1"/>
  </cols>
  <sheetData>
    <row r="1" spans="1:7" x14ac:dyDescent="0.3">
      <c r="A1" t="s">
        <v>131</v>
      </c>
      <c r="B1" t="s">
        <v>0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7C1F-427B-487D-B703-EBF512D7AC27}">
  <dimension ref="A1:B25"/>
  <sheetViews>
    <sheetView workbookViewId="0">
      <selection activeCell="B11" sqref="B11:B25"/>
    </sheetView>
  </sheetViews>
  <sheetFormatPr defaultRowHeight="14.4" x14ac:dyDescent="0.3"/>
  <cols>
    <col min="1" max="1" width="19.33203125" style="3" customWidth="1"/>
  </cols>
  <sheetData>
    <row r="1" spans="1:2" s="1" customFormat="1" x14ac:dyDescent="0.3">
      <c r="A1" s="1" t="s">
        <v>28</v>
      </c>
      <c r="B1" s="1" t="s">
        <v>72</v>
      </c>
    </row>
    <row r="2" spans="1:2" x14ac:dyDescent="0.3">
      <c r="A2" s="3">
        <f>IF(timeseries!A2&lt;&gt;"",timeseries!A2,"")</f>
        <v>44624</v>
      </c>
      <c r="B2">
        <v>12</v>
      </c>
    </row>
    <row r="3" spans="1:2" x14ac:dyDescent="0.3">
      <c r="A3" s="3">
        <f>IF(timeseries!A3&lt;&gt;"",timeseries!A3,"")</f>
        <v>44624.010416666664</v>
      </c>
      <c r="B3">
        <v>12</v>
      </c>
    </row>
    <row r="4" spans="1:2" x14ac:dyDescent="0.3">
      <c r="A4" s="3">
        <f>IF(timeseries!A4&lt;&gt;"",timeseries!A4,"")</f>
        <v>44624.020833333336</v>
      </c>
      <c r="B4">
        <v>12</v>
      </c>
    </row>
    <row r="5" spans="1:2" x14ac:dyDescent="0.3">
      <c r="A5" s="3">
        <f>IF(timeseries!A5&lt;&gt;"",timeseries!A5,"")</f>
        <v>44624.03125</v>
      </c>
      <c r="B5">
        <v>12</v>
      </c>
    </row>
    <row r="6" spans="1:2" x14ac:dyDescent="0.3">
      <c r="A6" s="3">
        <f>IF(timeseries!A6&lt;&gt;"",timeseries!A6,"")</f>
        <v>44624.041666666664</v>
      </c>
      <c r="B6">
        <v>12</v>
      </c>
    </row>
    <row r="7" spans="1:2" x14ac:dyDescent="0.3">
      <c r="A7" s="3">
        <f>IF(timeseries!A7&lt;&gt;"",timeseries!A7,"")</f>
        <v>44624.083333333336</v>
      </c>
      <c r="B7">
        <v>12</v>
      </c>
    </row>
    <row r="8" spans="1:2" x14ac:dyDescent="0.3">
      <c r="A8" s="3">
        <f>IF(timeseries!A8&lt;&gt;"",timeseries!A8,"")</f>
        <v>44624.125</v>
      </c>
      <c r="B8">
        <v>12</v>
      </c>
    </row>
    <row r="9" spans="1:2" x14ac:dyDescent="0.3">
      <c r="A9" s="3">
        <f>IF(timeseries!A9&lt;&gt;"",timeseries!A9,"")</f>
        <v>44624.291666666664</v>
      </c>
      <c r="B9">
        <v>12</v>
      </c>
    </row>
    <row r="10" spans="1:2" x14ac:dyDescent="0.3">
      <c r="A10" s="3">
        <f>IF(timeseries!A10&lt;&gt;"",timeseries!A10,"")</f>
        <v>44624.458333333336</v>
      </c>
      <c r="B10">
        <v>12</v>
      </c>
    </row>
    <row r="11" spans="1:2" x14ac:dyDescent="0.3">
      <c r="A11" s="3" t="str">
        <f>IF(timeseries!A11&lt;&gt;"",timeseries!A11,"")</f>
        <v/>
      </c>
    </row>
    <row r="12" spans="1:2" x14ac:dyDescent="0.3">
      <c r="A12" s="3" t="str">
        <f>IF(timeseries!A12&lt;&gt;"",timeseries!A12,"")</f>
        <v/>
      </c>
    </row>
    <row r="13" spans="1:2" x14ac:dyDescent="0.3">
      <c r="A13" s="3" t="str">
        <f>IF(timeseries!A13&lt;&gt;"",timeseries!A13,"")</f>
        <v/>
      </c>
    </row>
    <row r="14" spans="1:2" x14ac:dyDescent="0.3">
      <c r="A14" s="3" t="str">
        <f>IF(timeseries!A14&lt;&gt;"",timeseries!A14,"")</f>
        <v/>
      </c>
    </row>
    <row r="15" spans="1:2" x14ac:dyDescent="0.3">
      <c r="A15" s="3" t="str">
        <f>IF(timeseries!A15&lt;&gt;"",timeseries!A15,"")</f>
        <v/>
      </c>
    </row>
    <row r="16" spans="1:2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8A93-7501-4F5D-9E8F-38D329CC85EC}">
  <dimension ref="A1:K3"/>
  <sheetViews>
    <sheetView workbookViewId="0">
      <selection activeCell="B2" sqref="B2"/>
    </sheetView>
  </sheetViews>
  <sheetFormatPr defaultRowHeight="14.4" x14ac:dyDescent="0.3"/>
  <cols>
    <col min="1" max="1" width="7.33203125" bestFit="1" customWidth="1"/>
    <col min="2" max="2" width="7.6640625" bestFit="1" customWidth="1"/>
    <col min="3" max="3" width="6.6640625" bestFit="1" customWidth="1"/>
    <col min="4" max="4" width="12.33203125" bestFit="1" customWidth="1"/>
    <col min="5" max="5" width="9.33203125" bestFit="1" customWidth="1"/>
    <col min="6" max="6" width="12.6640625" bestFit="1" customWidth="1"/>
  </cols>
  <sheetData>
    <row r="1" spans="1:11" s="1" customFormat="1" x14ac:dyDescent="0.3">
      <c r="A1" s="1" t="s">
        <v>29</v>
      </c>
      <c r="B1" s="1" t="s">
        <v>127</v>
      </c>
      <c r="C1" s="1" t="s">
        <v>0</v>
      </c>
      <c r="D1" s="1" t="s">
        <v>88</v>
      </c>
      <c r="E1" s="1" t="s">
        <v>34</v>
      </c>
      <c r="F1" s="1" t="s">
        <v>49</v>
      </c>
      <c r="G1" s="1" t="s">
        <v>69</v>
      </c>
      <c r="H1" s="1" t="s">
        <v>82</v>
      </c>
      <c r="I1" s="1" t="s">
        <v>84</v>
      </c>
      <c r="J1" s="1" t="s">
        <v>85</v>
      </c>
      <c r="K1" s="1" t="s">
        <v>83</v>
      </c>
    </row>
    <row r="2" spans="1:11" x14ac:dyDescent="0.3">
      <c r="A2" s="2" t="s">
        <v>11</v>
      </c>
      <c r="B2" s="2" t="s">
        <v>33</v>
      </c>
      <c r="C2" s="2" t="s">
        <v>8</v>
      </c>
      <c r="D2" s="2" t="s">
        <v>89</v>
      </c>
      <c r="E2" s="2" t="s">
        <v>35</v>
      </c>
      <c r="F2" s="2" t="s">
        <v>35</v>
      </c>
      <c r="G2">
        <v>1</v>
      </c>
      <c r="H2">
        <v>0</v>
      </c>
      <c r="I2" s="2">
        <v>0</v>
      </c>
      <c r="J2" s="2">
        <v>0</v>
      </c>
      <c r="K2" s="2">
        <v>0</v>
      </c>
    </row>
    <row r="3" spans="1:11" x14ac:dyDescent="0.3">
      <c r="A3" t="s">
        <v>50</v>
      </c>
      <c r="B3" t="s">
        <v>32</v>
      </c>
      <c r="C3" t="s">
        <v>90</v>
      </c>
      <c r="D3" t="s">
        <v>89</v>
      </c>
      <c r="E3" t="s">
        <v>109</v>
      </c>
      <c r="F3" t="s">
        <v>48</v>
      </c>
      <c r="G3">
        <v>1</v>
      </c>
      <c r="H3">
        <v>1</v>
      </c>
      <c r="I3">
        <v>1</v>
      </c>
      <c r="J3">
        <v>1000</v>
      </c>
      <c r="K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72C5-DB60-4318-868D-D4FA20FECD5D}">
  <dimension ref="A1:C25"/>
  <sheetViews>
    <sheetView workbookViewId="0">
      <selection sqref="A1:C10"/>
    </sheetView>
  </sheetViews>
  <sheetFormatPr defaultRowHeight="14.4" x14ac:dyDescent="0.3"/>
  <cols>
    <col min="1" max="1" width="19.33203125" style="3" customWidth="1"/>
  </cols>
  <sheetData>
    <row r="1" spans="1:3" x14ac:dyDescent="0.3">
      <c r="A1" s="1" t="s">
        <v>28</v>
      </c>
      <c r="B1" t="s">
        <v>110</v>
      </c>
      <c r="C1" t="s">
        <v>111</v>
      </c>
    </row>
    <row r="2" spans="1:3" x14ac:dyDescent="0.3">
      <c r="A2" s="3">
        <f>IF(timeseries!A2&lt;&gt;"",timeseries!A2,"")</f>
        <v>44624</v>
      </c>
      <c r="B2">
        <v>0.2</v>
      </c>
      <c r="C2">
        <v>0.3</v>
      </c>
    </row>
    <row r="3" spans="1:3" x14ac:dyDescent="0.3">
      <c r="A3" s="3">
        <f>IF(timeseries!A3&lt;&gt;"",timeseries!A3,"")</f>
        <v>44624.010416666664</v>
      </c>
      <c r="B3">
        <v>0.2</v>
      </c>
      <c r="C3">
        <v>0.3</v>
      </c>
    </row>
    <row r="4" spans="1:3" x14ac:dyDescent="0.3">
      <c r="A4" s="3">
        <f>IF(timeseries!A4&lt;&gt;"",timeseries!A4,"")</f>
        <v>44624.020833333336</v>
      </c>
      <c r="B4">
        <v>0.2</v>
      </c>
      <c r="C4">
        <v>0.3</v>
      </c>
    </row>
    <row r="5" spans="1:3" x14ac:dyDescent="0.3">
      <c r="A5" s="3">
        <f>IF(timeseries!A5&lt;&gt;"",timeseries!A5,"")</f>
        <v>44624.03125</v>
      </c>
      <c r="B5">
        <v>0.2</v>
      </c>
      <c r="C5">
        <v>0.3</v>
      </c>
    </row>
    <row r="6" spans="1:3" x14ac:dyDescent="0.3">
      <c r="A6" s="3">
        <f>IF(timeseries!A6&lt;&gt;"",timeseries!A6,"")</f>
        <v>44624.041666666664</v>
      </c>
      <c r="B6">
        <v>0.2</v>
      </c>
      <c r="C6">
        <v>0.3</v>
      </c>
    </row>
    <row r="7" spans="1:3" x14ac:dyDescent="0.3">
      <c r="A7" s="3">
        <f>IF(timeseries!A7&lt;&gt;"",timeseries!A7,"")</f>
        <v>44624.083333333336</v>
      </c>
      <c r="B7">
        <v>0.2</v>
      </c>
      <c r="C7">
        <v>0.3</v>
      </c>
    </row>
    <row r="8" spans="1:3" x14ac:dyDescent="0.3">
      <c r="A8" s="3">
        <f>IF(timeseries!A8&lt;&gt;"",timeseries!A8,"")</f>
        <v>44624.125</v>
      </c>
      <c r="B8">
        <v>0.2</v>
      </c>
      <c r="C8">
        <v>0.3</v>
      </c>
    </row>
    <row r="9" spans="1:3" x14ac:dyDescent="0.3">
      <c r="A9" s="3">
        <f>IF(timeseries!A9&lt;&gt;"",timeseries!A9,"")</f>
        <v>44624.291666666664</v>
      </c>
      <c r="B9">
        <v>0.2</v>
      </c>
      <c r="C9">
        <v>0.3</v>
      </c>
    </row>
    <row r="10" spans="1:3" x14ac:dyDescent="0.3">
      <c r="A10" s="3">
        <f>IF(timeseries!A10&lt;&gt;"",timeseries!A10,"")</f>
        <v>44624.458333333336</v>
      </c>
      <c r="B10">
        <v>0.2</v>
      </c>
      <c r="C10">
        <v>0.3</v>
      </c>
    </row>
    <row r="11" spans="1:3" x14ac:dyDescent="0.3">
      <c r="A11" s="3" t="str">
        <f>IF(timeseries!A11&lt;&gt;"",timeseries!A11,"")</f>
        <v/>
      </c>
    </row>
    <row r="12" spans="1:3" x14ac:dyDescent="0.3">
      <c r="A12" s="3" t="str">
        <f>IF(timeseries!A12&lt;&gt;"",timeseries!A12,"")</f>
        <v/>
      </c>
    </row>
    <row r="13" spans="1:3" x14ac:dyDescent="0.3">
      <c r="A13" s="3" t="str">
        <f>IF(timeseries!A13&lt;&gt;"",timeseries!A13,"")</f>
        <v/>
      </c>
    </row>
    <row r="14" spans="1:3" x14ac:dyDescent="0.3">
      <c r="A14" s="3" t="str">
        <f>IF(timeseries!A14&lt;&gt;"",timeseries!A14,"")</f>
        <v/>
      </c>
    </row>
    <row r="15" spans="1:3" x14ac:dyDescent="0.3">
      <c r="A15" s="3" t="str">
        <f>IF(timeseries!A15&lt;&gt;"",timeseries!A15,"")</f>
        <v/>
      </c>
    </row>
    <row r="16" spans="1:3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DD9A-EF34-4108-8532-230729E9C708}">
  <dimension ref="A1:E25"/>
  <sheetViews>
    <sheetView workbookViewId="0">
      <selection sqref="A1:A1048576"/>
    </sheetView>
  </sheetViews>
  <sheetFormatPr defaultRowHeight="14.4" x14ac:dyDescent="0.3"/>
  <cols>
    <col min="1" max="1" width="19.33203125" style="3" customWidth="1"/>
    <col min="2" max="2" width="11.44140625" customWidth="1"/>
  </cols>
  <sheetData>
    <row r="1" spans="1:5" s="1" customFormat="1" x14ac:dyDescent="0.3">
      <c r="A1" s="1" t="s">
        <v>28</v>
      </c>
      <c r="B1" s="1" t="s">
        <v>40</v>
      </c>
      <c r="C1" s="1" t="s">
        <v>41</v>
      </c>
      <c r="D1" s="1" t="s">
        <v>110</v>
      </c>
      <c r="E1" s="1" t="s">
        <v>111</v>
      </c>
    </row>
    <row r="2" spans="1:5" x14ac:dyDescent="0.3">
      <c r="A2" s="3">
        <f>IF(timeseries!A2&lt;&gt;"",timeseries!A2,"")</f>
        <v>44624</v>
      </c>
      <c r="B2">
        <v>70</v>
      </c>
      <c r="C2">
        <v>57</v>
      </c>
      <c r="D2">
        <v>30</v>
      </c>
      <c r="E2">
        <v>41</v>
      </c>
    </row>
    <row r="3" spans="1:5" x14ac:dyDescent="0.3">
      <c r="A3" s="3">
        <f>IF(timeseries!A3&lt;&gt;"",timeseries!A3,"")</f>
        <v>44624.010416666664</v>
      </c>
      <c r="B3">
        <v>15</v>
      </c>
      <c r="C3">
        <v>37</v>
      </c>
      <c r="D3">
        <v>35</v>
      </c>
      <c r="E3">
        <v>19</v>
      </c>
    </row>
    <row r="4" spans="1:5" x14ac:dyDescent="0.3">
      <c r="A4" s="3">
        <f>IF(timeseries!A4&lt;&gt;"",timeseries!A4,"")</f>
        <v>44624.020833333336</v>
      </c>
      <c r="B4">
        <v>15</v>
      </c>
      <c r="C4">
        <v>68</v>
      </c>
      <c r="D4">
        <v>62</v>
      </c>
      <c r="E4">
        <v>56</v>
      </c>
    </row>
    <row r="5" spans="1:5" x14ac:dyDescent="0.3">
      <c r="A5" s="3">
        <f>IF(timeseries!A5&lt;&gt;"",timeseries!A5,"")</f>
        <v>44624.03125</v>
      </c>
      <c r="B5">
        <v>18</v>
      </c>
      <c r="C5">
        <v>51</v>
      </c>
      <c r="D5">
        <v>24</v>
      </c>
      <c r="E5">
        <v>39</v>
      </c>
    </row>
    <row r="6" spans="1:5" x14ac:dyDescent="0.3">
      <c r="A6" s="3">
        <f>IF(timeseries!A6&lt;&gt;"",timeseries!A6,"")</f>
        <v>44624.041666666664</v>
      </c>
      <c r="B6">
        <v>64</v>
      </c>
      <c r="C6">
        <v>31</v>
      </c>
      <c r="D6">
        <v>50</v>
      </c>
      <c r="E6">
        <v>41</v>
      </c>
    </row>
    <row r="7" spans="1:5" x14ac:dyDescent="0.3">
      <c r="A7" s="3">
        <f>IF(timeseries!A7&lt;&gt;"",timeseries!A7,"")</f>
        <v>44624.083333333336</v>
      </c>
      <c r="B7">
        <v>42</v>
      </c>
      <c r="C7">
        <v>66</v>
      </c>
      <c r="D7">
        <v>67</v>
      </c>
      <c r="E7">
        <v>70</v>
      </c>
    </row>
    <row r="8" spans="1:5" x14ac:dyDescent="0.3">
      <c r="A8" s="3">
        <f>IF(timeseries!A8&lt;&gt;"",timeseries!A8,"")</f>
        <v>44624.125</v>
      </c>
      <c r="B8">
        <v>56</v>
      </c>
      <c r="C8">
        <v>19</v>
      </c>
      <c r="D8">
        <v>19</v>
      </c>
      <c r="E8">
        <v>20</v>
      </c>
    </row>
    <row r="9" spans="1:5" x14ac:dyDescent="0.3">
      <c r="A9" s="3">
        <f>IF(timeseries!A9&lt;&gt;"",timeseries!A9,"")</f>
        <v>44624.291666666664</v>
      </c>
      <c r="B9">
        <v>37</v>
      </c>
      <c r="C9">
        <v>60</v>
      </c>
      <c r="D9">
        <v>54</v>
      </c>
      <c r="E9">
        <v>64</v>
      </c>
    </row>
    <row r="10" spans="1:5" x14ac:dyDescent="0.3">
      <c r="A10" s="3">
        <f>IF(timeseries!A10&lt;&gt;"",timeseries!A10,"")</f>
        <v>44624.458333333336</v>
      </c>
      <c r="B10">
        <v>16</v>
      </c>
      <c r="C10">
        <v>53</v>
      </c>
      <c r="D10">
        <v>10</v>
      </c>
      <c r="E10">
        <v>49</v>
      </c>
    </row>
    <row r="11" spans="1:5" x14ac:dyDescent="0.3">
      <c r="A11" s="3" t="str">
        <f>IF(timeseries!A11&lt;&gt;"",timeseries!A11,"")</f>
        <v/>
      </c>
    </row>
    <row r="12" spans="1:5" x14ac:dyDescent="0.3">
      <c r="A12" s="3" t="str">
        <f>IF(timeseries!A12&lt;&gt;"",timeseries!A12,"")</f>
        <v/>
      </c>
    </row>
    <row r="13" spans="1:5" x14ac:dyDescent="0.3">
      <c r="A13" s="3" t="str">
        <f>IF(timeseries!A13&lt;&gt;"",timeseries!A13,"")</f>
        <v/>
      </c>
    </row>
    <row r="14" spans="1:5" x14ac:dyDescent="0.3">
      <c r="A14" s="3" t="str">
        <f>IF(timeseries!A14&lt;&gt;"",timeseries!A14,"")</f>
        <v/>
      </c>
    </row>
    <row r="15" spans="1:5" x14ac:dyDescent="0.3">
      <c r="A15" s="3" t="str">
        <f>IF(timeseries!A15&lt;&gt;"",timeseries!A15,"")</f>
        <v/>
      </c>
    </row>
    <row r="16" spans="1:5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DE8F-BC70-48D0-8376-FB52E6946AF1}">
  <dimension ref="A1:E25"/>
  <sheetViews>
    <sheetView workbookViewId="0">
      <selection activeCell="D13" sqref="D13"/>
    </sheetView>
  </sheetViews>
  <sheetFormatPr defaultRowHeight="14.4" x14ac:dyDescent="0.3"/>
  <cols>
    <col min="1" max="1" width="14.33203125" bestFit="1" customWidth="1"/>
    <col min="2" max="3" width="10.33203125" customWidth="1"/>
    <col min="4" max="4" width="11.6640625" customWidth="1"/>
  </cols>
  <sheetData>
    <row r="1" spans="1:5" x14ac:dyDescent="0.3">
      <c r="A1" s="1" t="s">
        <v>28</v>
      </c>
      <c r="B1" s="1" t="s">
        <v>74</v>
      </c>
      <c r="C1" s="1" t="s">
        <v>75</v>
      </c>
      <c r="D1" s="1" t="s">
        <v>76</v>
      </c>
      <c r="E1" s="1" t="s">
        <v>77</v>
      </c>
    </row>
    <row r="2" spans="1:5" x14ac:dyDescent="0.3">
      <c r="A2" s="3">
        <f>IF(timeseries!A2&lt;&gt;"",timeseries!A2,"")</f>
        <v>44624</v>
      </c>
      <c r="B2">
        <f>1.1*market_prices!B2</f>
        <v>77</v>
      </c>
      <c r="C2">
        <f>1.1*market_prices!C2</f>
        <v>62.7</v>
      </c>
      <c r="D2">
        <f>0.9*market_prices!B2</f>
        <v>63</v>
      </c>
      <c r="E2">
        <f>0.9*market_prices!C2</f>
        <v>51.300000000000004</v>
      </c>
    </row>
    <row r="3" spans="1:5" x14ac:dyDescent="0.3">
      <c r="A3" s="3">
        <f>IF(timeseries!A3&lt;&gt;"",timeseries!A3,"")</f>
        <v>44624.010416666664</v>
      </c>
      <c r="B3">
        <f>1.1*market_prices!B3</f>
        <v>16.5</v>
      </c>
      <c r="C3">
        <f>1.1*market_prices!C3</f>
        <v>40.700000000000003</v>
      </c>
      <c r="D3">
        <f>0.9*market_prices!B3</f>
        <v>13.5</v>
      </c>
      <c r="E3">
        <f>0.9*market_prices!C3</f>
        <v>33.300000000000004</v>
      </c>
    </row>
    <row r="4" spans="1:5" x14ac:dyDescent="0.3">
      <c r="A4" s="3">
        <f>IF(timeseries!A4&lt;&gt;"",timeseries!A4,"")</f>
        <v>44624.020833333336</v>
      </c>
      <c r="B4">
        <f>1.1*market_prices!B4</f>
        <v>16.5</v>
      </c>
      <c r="C4">
        <f>1.1*market_prices!C4</f>
        <v>74.800000000000011</v>
      </c>
      <c r="D4">
        <f>0.9*market_prices!B4</f>
        <v>13.5</v>
      </c>
      <c r="E4">
        <f>0.9*market_prices!C4</f>
        <v>61.2</v>
      </c>
    </row>
    <row r="5" spans="1:5" x14ac:dyDescent="0.3">
      <c r="A5" s="3">
        <f>IF(timeseries!A5&lt;&gt;"",timeseries!A5,"")</f>
        <v>44624.03125</v>
      </c>
      <c r="B5">
        <f>1.1*market_prices!B5</f>
        <v>19.8</v>
      </c>
      <c r="C5">
        <f>1.1*market_prices!C5</f>
        <v>56.1</v>
      </c>
      <c r="D5">
        <f>0.9*market_prices!B5</f>
        <v>16.2</v>
      </c>
      <c r="E5">
        <f>0.9*market_prices!C5</f>
        <v>45.9</v>
      </c>
    </row>
    <row r="6" spans="1:5" x14ac:dyDescent="0.3">
      <c r="A6" s="3">
        <f>IF(timeseries!A6&lt;&gt;"",timeseries!A6,"")</f>
        <v>44624.041666666664</v>
      </c>
      <c r="B6">
        <f>1.1*market_prices!B6</f>
        <v>70.400000000000006</v>
      </c>
      <c r="C6">
        <f>1.1*market_prices!C6</f>
        <v>34.1</v>
      </c>
      <c r="D6">
        <f>0.9*market_prices!B6</f>
        <v>57.6</v>
      </c>
      <c r="E6">
        <f>0.9*market_prices!C6</f>
        <v>27.900000000000002</v>
      </c>
    </row>
    <row r="7" spans="1:5" x14ac:dyDescent="0.3">
      <c r="A7" s="3">
        <f>IF(timeseries!A7&lt;&gt;"",timeseries!A7,"")</f>
        <v>44624.083333333336</v>
      </c>
      <c r="B7">
        <f>1.1*market_prices!B7</f>
        <v>46.2</v>
      </c>
      <c r="C7">
        <f>1.1*market_prices!C7</f>
        <v>72.600000000000009</v>
      </c>
      <c r="D7">
        <f>0.9*market_prices!B7</f>
        <v>37.800000000000004</v>
      </c>
      <c r="E7">
        <f>0.9*market_prices!C7</f>
        <v>59.4</v>
      </c>
    </row>
    <row r="8" spans="1:5" x14ac:dyDescent="0.3">
      <c r="A8" s="3">
        <f>IF(timeseries!A8&lt;&gt;"",timeseries!A8,"")</f>
        <v>44624.125</v>
      </c>
      <c r="B8">
        <f>1.1*market_prices!B8</f>
        <v>61.600000000000009</v>
      </c>
      <c r="C8">
        <f>1.1*market_prices!C8</f>
        <v>20.900000000000002</v>
      </c>
      <c r="D8">
        <f>0.9*market_prices!B8</f>
        <v>50.4</v>
      </c>
      <c r="E8">
        <f>0.9*market_prices!C8</f>
        <v>17.100000000000001</v>
      </c>
    </row>
    <row r="9" spans="1:5" x14ac:dyDescent="0.3">
      <c r="A9" s="3">
        <f>IF(timeseries!A9&lt;&gt;"",timeseries!A9,"")</f>
        <v>44624.291666666664</v>
      </c>
      <c r="B9">
        <f>1.1*market_prices!B9</f>
        <v>40.700000000000003</v>
      </c>
      <c r="C9">
        <f>1.1*market_prices!C9</f>
        <v>66</v>
      </c>
      <c r="D9">
        <f>0.9*market_prices!B9</f>
        <v>33.300000000000004</v>
      </c>
      <c r="E9">
        <f>0.9*market_prices!C9</f>
        <v>54</v>
      </c>
    </row>
    <row r="10" spans="1:5" x14ac:dyDescent="0.3">
      <c r="A10" s="3">
        <f>IF(timeseries!A10&lt;&gt;"",timeseries!A10,"")</f>
        <v>44624.458333333336</v>
      </c>
      <c r="B10">
        <f>1.1*market_prices!B10</f>
        <v>17.600000000000001</v>
      </c>
      <c r="C10">
        <f>1.1*market_prices!C10</f>
        <v>58.300000000000004</v>
      </c>
      <c r="D10">
        <f>0.9*market_prices!B10</f>
        <v>14.4</v>
      </c>
      <c r="E10">
        <f>0.9*market_prices!C10</f>
        <v>47.7</v>
      </c>
    </row>
    <row r="11" spans="1:5" x14ac:dyDescent="0.3">
      <c r="A11" s="3" t="str">
        <f>IF(timeseries!A11&lt;&gt;"",timeseries!A11,"")</f>
        <v/>
      </c>
    </row>
    <row r="12" spans="1:5" x14ac:dyDescent="0.3">
      <c r="A12" s="3" t="str">
        <f>IF(timeseries!A12&lt;&gt;"",timeseries!A12,"")</f>
        <v/>
      </c>
    </row>
    <row r="13" spans="1:5" x14ac:dyDescent="0.3">
      <c r="A13" s="3" t="str">
        <f>IF(timeseries!A13&lt;&gt;"",timeseries!A13,"")</f>
        <v/>
      </c>
    </row>
    <row r="14" spans="1:5" x14ac:dyDescent="0.3">
      <c r="A14" s="3" t="str">
        <f>IF(timeseries!A14&lt;&gt;"",timeseries!A14,"")</f>
        <v/>
      </c>
    </row>
    <row r="15" spans="1:5" x14ac:dyDescent="0.3">
      <c r="A15" s="3" t="str">
        <f>IF(timeseries!A15&lt;&gt;"",timeseries!A15,"")</f>
        <v/>
      </c>
    </row>
    <row r="16" spans="1:5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999EF-60F2-48CB-917A-DEA08B7B4CE6}">
  <dimension ref="A1:BA25"/>
  <sheetViews>
    <sheetView workbookViewId="0">
      <selection activeCell="E4" sqref="E4"/>
    </sheetView>
  </sheetViews>
  <sheetFormatPr defaultRowHeight="14.4" x14ac:dyDescent="0.3"/>
  <cols>
    <col min="1" max="1" width="19.33203125" style="3" customWidth="1"/>
  </cols>
  <sheetData>
    <row r="1" spans="1:53" s="1" customFormat="1" x14ac:dyDescent="0.3">
      <c r="A1" s="1" t="s">
        <v>28</v>
      </c>
      <c r="B1" t="s">
        <v>110</v>
      </c>
      <c r="C1" t="s">
        <v>111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</row>
    <row r="2" spans="1:53" x14ac:dyDescent="0.3">
      <c r="A2" s="3">
        <f>IF(timeseries!A2&lt;&gt;"",timeseries!A2,"")</f>
        <v>44624</v>
      </c>
      <c r="B2">
        <v>0</v>
      </c>
      <c r="C2">
        <v>0</v>
      </c>
    </row>
    <row r="3" spans="1:53" x14ac:dyDescent="0.3">
      <c r="A3" s="3">
        <f>IF(timeseries!A3&lt;&gt;"",timeseries!A3,"")</f>
        <v>44624.010416666664</v>
      </c>
      <c r="B3">
        <v>0</v>
      </c>
      <c r="C3">
        <v>0</v>
      </c>
    </row>
    <row r="4" spans="1:53" x14ac:dyDescent="0.3">
      <c r="A4" s="3">
        <f>IF(timeseries!A4&lt;&gt;"",timeseries!A4,"")</f>
        <v>44624.020833333336</v>
      </c>
      <c r="B4">
        <v>0</v>
      </c>
      <c r="C4">
        <v>0</v>
      </c>
    </row>
    <row r="5" spans="1:53" x14ac:dyDescent="0.3">
      <c r="A5" s="3">
        <f>IF(timeseries!A5&lt;&gt;"",timeseries!A5,"")</f>
        <v>44624.03125</v>
      </c>
      <c r="B5">
        <v>0</v>
      </c>
      <c r="C5">
        <v>0</v>
      </c>
    </row>
    <row r="6" spans="1:53" x14ac:dyDescent="0.3">
      <c r="A6" s="3">
        <f>IF(timeseries!A6&lt;&gt;"",timeseries!A6,"")</f>
        <v>44624.041666666664</v>
      </c>
      <c r="B6">
        <v>0</v>
      </c>
      <c r="C6">
        <v>0</v>
      </c>
    </row>
    <row r="7" spans="1:53" x14ac:dyDescent="0.3">
      <c r="A7" s="3">
        <f>IF(timeseries!A7&lt;&gt;"",timeseries!A7,"")</f>
        <v>44624.083333333336</v>
      </c>
      <c r="B7">
        <v>0</v>
      </c>
      <c r="C7">
        <v>0</v>
      </c>
    </row>
    <row r="8" spans="1:53" x14ac:dyDescent="0.3">
      <c r="A8" s="3">
        <f>IF(timeseries!A8&lt;&gt;"",timeseries!A8,"")</f>
        <v>44624.125</v>
      </c>
      <c r="B8">
        <v>0</v>
      </c>
      <c r="C8">
        <v>0</v>
      </c>
    </row>
    <row r="9" spans="1:53" x14ac:dyDescent="0.3">
      <c r="A9" s="3">
        <f>IF(timeseries!A9&lt;&gt;"",timeseries!A9,"")</f>
        <v>44624.291666666664</v>
      </c>
      <c r="B9">
        <v>0</v>
      </c>
      <c r="C9">
        <v>0</v>
      </c>
    </row>
    <row r="10" spans="1:53" x14ac:dyDescent="0.3">
      <c r="A10" s="3">
        <f>IF(timeseries!A10&lt;&gt;"",timeseries!A10,"")</f>
        <v>44624.458333333336</v>
      </c>
      <c r="B10">
        <v>0</v>
      </c>
      <c r="C10">
        <v>0</v>
      </c>
    </row>
    <row r="11" spans="1:53" x14ac:dyDescent="0.3">
      <c r="A11" s="3" t="str">
        <f>IF(timeseries!A11&lt;&gt;"",timeseries!A11,"")</f>
        <v/>
      </c>
    </row>
    <row r="12" spans="1:53" x14ac:dyDescent="0.3">
      <c r="A12" s="3" t="str">
        <f>IF(timeseries!A12&lt;&gt;"",timeseries!A12,"")</f>
        <v/>
      </c>
    </row>
    <row r="13" spans="1:53" x14ac:dyDescent="0.3">
      <c r="A13" s="3" t="str">
        <f>IF(timeseries!A13&lt;&gt;"",timeseries!A13,"")</f>
        <v/>
      </c>
    </row>
    <row r="14" spans="1:53" x14ac:dyDescent="0.3">
      <c r="A14" s="3" t="str">
        <f>IF(timeseries!A14&lt;&gt;"",timeseries!A14,"")</f>
        <v/>
      </c>
    </row>
    <row r="15" spans="1:53" x14ac:dyDescent="0.3">
      <c r="A15" s="3" t="str">
        <f>IF(timeseries!A15&lt;&gt;"",timeseries!A15,"")</f>
        <v/>
      </c>
    </row>
    <row r="16" spans="1:53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5C19-61CA-438C-ABFB-FA51A2F784B7}">
  <dimension ref="A1:A25"/>
  <sheetViews>
    <sheetView workbookViewId="0">
      <selection activeCell="F13" sqref="F13"/>
    </sheetView>
  </sheetViews>
  <sheetFormatPr defaultRowHeight="14.4" x14ac:dyDescent="0.3"/>
  <cols>
    <col min="1" max="1" width="19.33203125" style="3" customWidth="1"/>
  </cols>
  <sheetData>
    <row r="1" spans="1:1" x14ac:dyDescent="0.3">
      <c r="A1" s="1" t="s">
        <v>28</v>
      </c>
    </row>
    <row r="2" spans="1:1" x14ac:dyDescent="0.3">
      <c r="A2" s="3">
        <f>IF(timeseries!A2&lt;&gt;"",timeseries!A2,"")</f>
        <v>44624</v>
      </c>
    </row>
    <row r="3" spans="1:1" x14ac:dyDescent="0.3">
      <c r="A3" s="3">
        <f>IF(timeseries!A3&lt;&gt;"",timeseries!A3,"")</f>
        <v>44624.010416666664</v>
      </c>
    </row>
    <row r="4" spans="1:1" x14ac:dyDescent="0.3">
      <c r="A4" s="3">
        <f>IF(timeseries!A4&lt;&gt;"",timeseries!A4,"")</f>
        <v>44624.020833333336</v>
      </c>
    </row>
    <row r="5" spans="1:1" x14ac:dyDescent="0.3">
      <c r="A5" s="3">
        <f>IF(timeseries!A5&lt;&gt;"",timeseries!A5,"")</f>
        <v>44624.03125</v>
      </c>
    </row>
    <row r="6" spans="1:1" x14ac:dyDescent="0.3">
      <c r="A6" s="3">
        <f>IF(timeseries!A6&lt;&gt;"",timeseries!A6,"")</f>
        <v>44624.041666666664</v>
      </c>
    </row>
    <row r="7" spans="1:1" x14ac:dyDescent="0.3">
      <c r="A7" s="3">
        <f>IF(timeseries!A7&lt;&gt;"",timeseries!A7,"")</f>
        <v>44624.083333333336</v>
      </c>
    </row>
    <row r="8" spans="1:1" x14ac:dyDescent="0.3">
      <c r="A8" s="3">
        <f>IF(timeseries!A8&lt;&gt;"",timeseries!A8,"")</f>
        <v>44624.125</v>
      </c>
    </row>
    <row r="9" spans="1:1" x14ac:dyDescent="0.3">
      <c r="A9" s="3">
        <f>IF(timeseries!A9&lt;&gt;"",timeseries!A9,"")</f>
        <v>44624.291666666664</v>
      </c>
    </row>
    <row r="10" spans="1:1" x14ac:dyDescent="0.3">
      <c r="A10" s="3">
        <f>IF(timeseries!A10&lt;&gt;"",timeseries!A10,"")</f>
        <v>44624.458333333336</v>
      </c>
    </row>
    <row r="11" spans="1:1" x14ac:dyDescent="0.3">
      <c r="A11" s="3" t="str">
        <f>IF(timeseries!A11&lt;&gt;"",timeseries!A11,"")</f>
        <v/>
      </c>
    </row>
    <row r="12" spans="1:1" x14ac:dyDescent="0.3">
      <c r="A12" s="3" t="str">
        <f>IF(timeseries!A12&lt;&gt;"",timeseries!A12,"")</f>
        <v/>
      </c>
    </row>
    <row r="13" spans="1:1" x14ac:dyDescent="0.3">
      <c r="A13" s="3" t="str">
        <f>IF(timeseries!A13&lt;&gt;"",timeseries!A13,"")</f>
        <v/>
      </c>
    </row>
    <row r="14" spans="1:1" x14ac:dyDescent="0.3">
      <c r="A14" s="3" t="str">
        <f>IF(timeseries!A14&lt;&gt;"",timeseries!A14,"")</f>
        <v/>
      </c>
    </row>
    <row r="15" spans="1:1" x14ac:dyDescent="0.3">
      <c r="A15" s="3" t="str">
        <f>IF(timeseries!A15&lt;&gt;"",timeseries!A15,"")</f>
        <v/>
      </c>
    </row>
    <row r="16" spans="1:1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D326-256A-435C-AAE3-3517FA836EAE}">
  <dimension ref="A1:B3"/>
  <sheetViews>
    <sheetView workbookViewId="0">
      <selection activeCell="E7" sqref="E7"/>
    </sheetView>
  </sheetViews>
  <sheetFormatPr defaultRowHeight="14.4" x14ac:dyDescent="0.3"/>
  <cols>
    <col min="1" max="1" width="10.33203125" bestFit="1" customWidth="1"/>
  </cols>
  <sheetData>
    <row r="1" spans="1:2" x14ac:dyDescent="0.3">
      <c r="A1" s="1" t="s">
        <v>65</v>
      </c>
      <c r="B1" s="1" t="s">
        <v>66</v>
      </c>
    </row>
    <row r="2" spans="1:2" x14ac:dyDescent="0.3">
      <c r="A2" t="s">
        <v>67</v>
      </c>
      <c r="B2">
        <v>0.2</v>
      </c>
    </row>
    <row r="3" spans="1:2" x14ac:dyDescent="0.3">
      <c r="A3" t="s">
        <v>68</v>
      </c>
      <c r="B3">
        <v>0.2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D413-E614-48C1-80E1-F1E8236FCBC6}">
  <dimension ref="A1:B3"/>
  <sheetViews>
    <sheetView workbookViewId="0">
      <selection activeCell="B3" sqref="B3"/>
    </sheetView>
  </sheetViews>
  <sheetFormatPr defaultRowHeight="14.4" x14ac:dyDescent="0.3"/>
  <sheetData>
    <row r="1" spans="1:2" s="1" customFormat="1" x14ac:dyDescent="0.3">
      <c r="A1" s="1" t="s">
        <v>36</v>
      </c>
      <c r="B1" s="1" t="s">
        <v>37</v>
      </c>
    </row>
    <row r="2" spans="1:2" x14ac:dyDescent="0.3">
      <c r="A2" t="s">
        <v>38</v>
      </c>
      <c r="B2">
        <v>0.5</v>
      </c>
    </row>
    <row r="3" spans="1:2" x14ac:dyDescent="0.3">
      <c r="A3" t="s">
        <v>39</v>
      </c>
      <c r="B3">
        <v>0.5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9CA5-0AA2-4F6F-8223-14BF74917F04}">
  <dimension ref="A1:A25"/>
  <sheetViews>
    <sheetView workbookViewId="0">
      <selection sqref="A1:A1048576"/>
    </sheetView>
  </sheetViews>
  <sheetFormatPr defaultRowHeight="14.4" x14ac:dyDescent="0.3"/>
  <cols>
    <col min="1" max="1" width="19.33203125" style="3" customWidth="1"/>
  </cols>
  <sheetData>
    <row r="1" spans="1:1" s="1" customFormat="1" x14ac:dyDescent="0.3">
      <c r="A1" s="1" t="s">
        <v>28</v>
      </c>
    </row>
    <row r="2" spans="1:1" x14ac:dyDescent="0.3">
      <c r="A2" s="3">
        <f>IF(timeseries!A2&lt;&gt;"",timeseries!A2,"")</f>
        <v>44624</v>
      </c>
    </row>
    <row r="3" spans="1:1" x14ac:dyDescent="0.3">
      <c r="A3" s="3">
        <f>IF(timeseries!A3&lt;&gt;"",timeseries!A3,"")</f>
        <v>44624.010416666664</v>
      </c>
    </row>
    <row r="4" spans="1:1" x14ac:dyDescent="0.3">
      <c r="A4" s="3">
        <f>IF(timeseries!A4&lt;&gt;"",timeseries!A4,"")</f>
        <v>44624.020833333336</v>
      </c>
    </row>
    <row r="5" spans="1:1" x14ac:dyDescent="0.3">
      <c r="A5" s="3">
        <f>IF(timeseries!A5&lt;&gt;"",timeseries!A5,"")</f>
        <v>44624.03125</v>
      </c>
    </row>
    <row r="6" spans="1:1" x14ac:dyDescent="0.3">
      <c r="A6" s="3">
        <f>IF(timeseries!A6&lt;&gt;"",timeseries!A6,"")</f>
        <v>44624.041666666664</v>
      </c>
    </row>
    <row r="7" spans="1:1" x14ac:dyDescent="0.3">
      <c r="A7" s="3">
        <f>IF(timeseries!A7&lt;&gt;"",timeseries!A7,"")</f>
        <v>44624.083333333336</v>
      </c>
    </row>
    <row r="8" spans="1:1" x14ac:dyDescent="0.3">
      <c r="A8" s="3">
        <f>IF(timeseries!A8&lt;&gt;"",timeseries!A8,"")</f>
        <v>44624.125</v>
      </c>
    </row>
    <row r="9" spans="1:1" x14ac:dyDescent="0.3">
      <c r="A9" s="3">
        <f>IF(timeseries!A9&lt;&gt;"",timeseries!A9,"")</f>
        <v>44624.291666666664</v>
      </c>
    </row>
    <row r="10" spans="1:1" x14ac:dyDescent="0.3">
      <c r="A10" s="3">
        <f>IF(timeseries!A10&lt;&gt;"",timeseries!A10,"")</f>
        <v>44624.458333333336</v>
      </c>
    </row>
    <row r="11" spans="1:1" x14ac:dyDescent="0.3">
      <c r="A11" s="3" t="str">
        <f>IF(timeseries!A11&lt;&gt;"",timeseries!A11,"")</f>
        <v/>
      </c>
    </row>
    <row r="12" spans="1:1" x14ac:dyDescent="0.3">
      <c r="A12" s="3" t="str">
        <f>IF(timeseries!A12&lt;&gt;"",timeseries!A12,"")</f>
        <v/>
      </c>
    </row>
    <row r="13" spans="1:1" x14ac:dyDescent="0.3">
      <c r="A13" s="3" t="str">
        <f>IF(timeseries!A13&lt;&gt;"",timeseries!A13,"")</f>
        <v/>
      </c>
    </row>
    <row r="14" spans="1:1" x14ac:dyDescent="0.3">
      <c r="A14" s="3" t="str">
        <f>IF(timeseries!A14&lt;&gt;"",timeseries!A14,"")</f>
        <v/>
      </c>
    </row>
    <row r="15" spans="1:1" x14ac:dyDescent="0.3">
      <c r="A15" s="3" t="str">
        <f>IF(timeseries!A15&lt;&gt;"",timeseries!A15,"")</f>
        <v/>
      </c>
    </row>
    <row r="16" spans="1:1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0E02-665B-45B8-BC4E-9596D2C1BC55}">
  <dimension ref="A1:C25"/>
  <sheetViews>
    <sheetView workbookViewId="0">
      <selection activeCell="E7" sqref="E7"/>
    </sheetView>
  </sheetViews>
  <sheetFormatPr defaultRowHeight="14.4" x14ac:dyDescent="0.3"/>
  <cols>
    <col min="1" max="1" width="19.33203125" style="3" customWidth="1"/>
  </cols>
  <sheetData>
    <row r="1" spans="1:3" s="1" customFormat="1" x14ac:dyDescent="0.3">
      <c r="A1" s="1" t="s">
        <v>28</v>
      </c>
      <c r="B1" s="1" t="s">
        <v>43</v>
      </c>
      <c r="C1" s="1" t="s">
        <v>44</v>
      </c>
    </row>
    <row r="2" spans="1:3" x14ac:dyDescent="0.3">
      <c r="A2" s="3">
        <f>IF(timeseries!A2&lt;&gt;"",timeseries!A2,"")</f>
        <v>44624</v>
      </c>
      <c r="B2">
        <v>3</v>
      </c>
      <c r="C2">
        <v>2.6</v>
      </c>
    </row>
    <row r="3" spans="1:3" x14ac:dyDescent="0.3">
      <c r="A3" s="3">
        <f>IF(timeseries!A3&lt;&gt;"",timeseries!A3,"")</f>
        <v>44624.010416666664</v>
      </c>
      <c r="B3">
        <v>3.5</v>
      </c>
      <c r="C3">
        <v>2.5</v>
      </c>
    </row>
    <row r="4" spans="1:3" x14ac:dyDescent="0.3">
      <c r="A4" s="3">
        <f>IF(timeseries!A4&lt;&gt;"",timeseries!A4,"")</f>
        <v>44624.020833333336</v>
      </c>
      <c r="B4">
        <v>3.5</v>
      </c>
      <c r="C4">
        <v>2.9</v>
      </c>
    </row>
    <row r="5" spans="1:3" x14ac:dyDescent="0.3">
      <c r="A5" s="3">
        <f>IF(timeseries!A5&lt;&gt;"",timeseries!A5,"")</f>
        <v>44624.03125</v>
      </c>
      <c r="B5">
        <v>3.4</v>
      </c>
      <c r="C5">
        <v>3.3</v>
      </c>
    </row>
    <row r="6" spans="1:3" x14ac:dyDescent="0.3">
      <c r="A6" s="3">
        <f>IF(timeseries!A6&lt;&gt;"",timeseries!A6,"")</f>
        <v>44624.041666666664</v>
      </c>
      <c r="B6">
        <v>3.3</v>
      </c>
      <c r="C6">
        <v>2.7</v>
      </c>
    </row>
    <row r="7" spans="1:3" x14ac:dyDescent="0.3">
      <c r="A7" s="3">
        <f>IF(timeseries!A7&lt;&gt;"",timeseries!A7,"")</f>
        <v>44624.083333333336</v>
      </c>
      <c r="B7">
        <v>3.2</v>
      </c>
      <c r="C7">
        <v>3</v>
      </c>
    </row>
    <row r="8" spans="1:3" x14ac:dyDescent="0.3">
      <c r="A8" s="3">
        <f>IF(timeseries!A8&lt;&gt;"",timeseries!A8,"")</f>
        <v>44624.125</v>
      </c>
      <c r="B8">
        <v>3.1</v>
      </c>
      <c r="C8">
        <v>3.5</v>
      </c>
    </row>
    <row r="9" spans="1:3" x14ac:dyDescent="0.3">
      <c r="A9" s="3">
        <f>IF(timeseries!A9&lt;&gt;"",timeseries!A9,"")</f>
        <v>44624.291666666664</v>
      </c>
      <c r="B9">
        <v>3</v>
      </c>
      <c r="C9">
        <v>3.3</v>
      </c>
    </row>
    <row r="10" spans="1:3" x14ac:dyDescent="0.3">
      <c r="A10" s="3">
        <f>IF(timeseries!A10&lt;&gt;"",timeseries!A10,"")</f>
        <v>44624.458333333336</v>
      </c>
      <c r="B10">
        <v>2.5</v>
      </c>
      <c r="C10">
        <v>3.5</v>
      </c>
    </row>
    <row r="11" spans="1:3" x14ac:dyDescent="0.3">
      <c r="A11" s="3" t="str">
        <f>IF(timeseries!A11&lt;&gt;"",timeseries!A11,"")</f>
        <v/>
      </c>
    </row>
    <row r="12" spans="1:3" x14ac:dyDescent="0.3">
      <c r="A12" s="3" t="str">
        <f>IF(timeseries!A12&lt;&gt;"",timeseries!A12,"")</f>
        <v/>
      </c>
    </row>
    <row r="13" spans="1:3" x14ac:dyDescent="0.3">
      <c r="A13" s="3" t="str">
        <f>IF(timeseries!A13&lt;&gt;"",timeseries!A13,"")</f>
        <v/>
      </c>
    </row>
    <row r="14" spans="1:3" x14ac:dyDescent="0.3">
      <c r="A14" s="3" t="str">
        <f>IF(timeseries!A14&lt;&gt;"",timeseries!A14,"")</f>
        <v/>
      </c>
    </row>
    <row r="15" spans="1:3" x14ac:dyDescent="0.3">
      <c r="A15" s="3" t="str">
        <f>IF(timeseries!A15&lt;&gt;"",timeseries!A15,"")</f>
        <v/>
      </c>
    </row>
    <row r="16" spans="1:3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FC51-737E-45F9-9A9E-85A96AFE5439}">
  <dimension ref="A1:M9"/>
  <sheetViews>
    <sheetView workbookViewId="0">
      <selection activeCell="B4" sqref="B4"/>
    </sheetView>
  </sheetViews>
  <sheetFormatPr defaultRowHeight="14.4" x14ac:dyDescent="0.3"/>
  <cols>
    <col min="1" max="1" width="17.6640625" bestFit="1" customWidth="1"/>
    <col min="3" max="3" width="22.5546875" bestFit="1" customWidth="1"/>
    <col min="4" max="4" width="25.6640625" bestFit="1" customWidth="1"/>
  </cols>
  <sheetData>
    <row r="1" spans="1:13" x14ac:dyDescent="0.3">
      <c r="A1" t="s">
        <v>36</v>
      </c>
      <c r="B1" t="s">
        <v>71</v>
      </c>
      <c r="C1" t="s">
        <v>86</v>
      </c>
      <c r="D1" t="s">
        <v>87</v>
      </c>
    </row>
    <row r="2" spans="1:13" x14ac:dyDescent="0.3">
      <c r="A2" t="s">
        <v>53</v>
      </c>
      <c r="B2" t="s">
        <v>54</v>
      </c>
      <c r="C2">
        <v>0</v>
      </c>
      <c r="D2">
        <v>0</v>
      </c>
    </row>
    <row r="3" spans="1:13" x14ac:dyDescent="0.3">
      <c r="A3" t="s">
        <v>104</v>
      </c>
      <c r="B3" t="s">
        <v>107</v>
      </c>
      <c r="C3">
        <v>1</v>
      </c>
      <c r="D3">
        <v>100</v>
      </c>
    </row>
    <row r="9" spans="1:13" x14ac:dyDescent="0.3">
      <c r="K9" s="1"/>
      <c r="L9" s="1"/>
      <c r="M9" s="1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AB76-2BDA-4ACA-A128-8CFB9FB6C8F8}">
  <dimension ref="A1:I25"/>
  <sheetViews>
    <sheetView workbookViewId="0">
      <selection activeCell="F15" sqref="F15"/>
    </sheetView>
  </sheetViews>
  <sheetFormatPr defaultRowHeight="14.4" x14ac:dyDescent="0.3"/>
  <cols>
    <col min="1" max="1" width="19.33203125" style="3" customWidth="1"/>
    <col min="2" max="2" width="14.44140625" bestFit="1" customWidth="1"/>
    <col min="3" max="3" width="14.44140625" customWidth="1"/>
    <col min="4" max="4" width="14.109375" bestFit="1" customWidth="1"/>
    <col min="5" max="5" width="14.109375" customWidth="1"/>
    <col min="6" max="6" width="5.33203125" bestFit="1" customWidth="1"/>
    <col min="7" max="7" width="5.33203125" customWidth="1"/>
  </cols>
  <sheetData>
    <row r="1" spans="1:9" x14ac:dyDescent="0.3">
      <c r="A1" s="1" t="s">
        <v>28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105</v>
      </c>
      <c r="I1" t="s">
        <v>106</v>
      </c>
    </row>
    <row r="2" spans="1:9" x14ac:dyDescent="0.3">
      <c r="A2" s="3">
        <f>IF(timeseries!A2&lt;&gt;"",timeseries!A2,"")</f>
        <v>44624</v>
      </c>
      <c r="B2">
        <v>1</v>
      </c>
      <c r="C2">
        <f>B2</f>
        <v>1</v>
      </c>
      <c r="D2">
        <v>-0.8</v>
      </c>
      <c r="E2">
        <f>D2</f>
        <v>-0.8</v>
      </c>
      <c r="F2">
        <v>0</v>
      </c>
      <c r="G2">
        <f>F2</f>
        <v>0</v>
      </c>
      <c r="H2">
        <v>1</v>
      </c>
      <c r="I2">
        <v>1</v>
      </c>
    </row>
    <row r="3" spans="1:9" x14ac:dyDescent="0.3">
      <c r="A3" s="3">
        <f>IF(timeseries!A3&lt;&gt;"",timeseries!A3,"")</f>
        <v>44624.010416666664</v>
      </c>
      <c r="B3">
        <v>1</v>
      </c>
      <c r="C3">
        <f t="shared" ref="C3:E10" si="0">B3</f>
        <v>1</v>
      </c>
      <c r="D3">
        <v>-0.8</v>
      </c>
      <c r="E3">
        <f t="shared" si="0"/>
        <v>-0.8</v>
      </c>
      <c r="F3">
        <v>0</v>
      </c>
      <c r="G3">
        <f t="shared" ref="G3" si="1">F3</f>
        <v>0</v>
      </c>
      <c r="H3">
        <v>1</v>
      </c>
      <c r="I3">
        <v>1</v>
      </c>
    </row>
    <row r="4" spans="1:9" x14ac:dyDescent="0.3">
      <c r="A4" s="3">
        <f>IF(timeseries!A4&lt;&gt;"",timeseries!A4,"")</f>
        <v>44624.020833333336</v>
      </c>
      <c r="B4">
        <v>1</v>
      </c>
      <c r="C4">
        <f t="shared" si="0"/>
        <v>1</v>
      </c>
      <c r="D4">
        <v>-0.8</v>
      </c>
      <c r="E4">
        <f t="shared" si="0"/>
        <v>-0.8</v>
      </c>
      <c r="F4">
        <v>0</v>
      </c>
      <c r="G4">
        <f t="shared" ref="G4" si="2">F4</f>
        <v>0</v>
      </c>
      <c r="H4">
        <v>1</v>
      </c>
      <c r="I4">
        <v>1</v>
      </c>
    </row>
    <row r="5" spans="1:9" x14ac:dyDescent="0.3">
      <c r="A5" s="3">
        <f>IF(timeseries!A5&lt;&gt;"",timeseries!A5,"")</f>
        <v>44624.03125</v>
      </c>
      <c r="B5">
        <v>1</v>
      </c>
      <c r="C5">
        <f t="shared" si="0"/>
        <v>1</v>
      </c>
      <c r="D5">
        <v>-0.8</v>
      </c>
      <c r="E5">
        <f t="shared" si="0"/>
        <v>-0.8</v>
      </c>
      <c r="F5">
        <v>0</v>
      </c>
      <c r="G5">
        <f t="shared" ref="G5" si="3">F5</f>
        <v>0</v>
      </c>
      <c r="H5">
        <v>1</v>
      </c>
      <c r="I5">
        <v>1</v>
      </c>
    </row>
    <row r="6" spans="1:9" x14ac:dyDescent="0.3">
      <c r="A6" s="3">
        <f>IF(timeseries!A6&lt;&gt;"",timeseries!A6,"")</f>
        <v>44624.041666666664</v>
      </c>
      <c r="B6">
        <v>1</v>
      </c>
      <c r="C6">
        <f t="shared" si="0"/>
        <v>1</v>
      </c>
      <c r="D6">
        <v>-0.8</v>
      </c>
      <c r="E6">
        <f t="shared" si="0"/>
        <v>-0.8</v>
      </c>
      <c r="F6">
        <v>0</v>
      </c>
      <c r="G6">
        <f t="shared" ref="G6" si="4">F6</f>
        <v>0</v>
      </c>
      <c r="H6">
        <v>1</v>
      </c>
      <c r="I6">
        <v>1</v>
      </c>
    </row>
    <row r="7" spans="1:9" x14ac:dyDescent="0.3">
      <c r="A7" s="3">
        <f>IF(timeseries!A7&lt;&gt;"",timeseries!A7,"")</f>
        <v>44624.083333333336</v>
      </c>
      <c r="B7">
        <v>1</v>
      </c>
      <c r="C7">
        <f t="shared" si="0"/>
        <v>1</v>
      </c>
      <c r="D7">
        <v>-0.8</v>
      </c>
      <c r="E7">
        <f t="shared" si="0"/>
        <v>-0.8</v>
      </c>
      <c r="F7">
        <v>0</v>
      </c>
      <c r="G7">
        <f t="shared" ref="G7" si="5">F7</f>
        <v>0</v>
      </c>
      <c r="H7">
        <v>1</v>
      </c>
      <c r="I7">
        <v>1</v>
      </c>
    </row>
    <row r="8" spans="1:9" x14ac:dyDescent="0.3">
      <c r="A8" s="3">
        <f>IF(timeseries!A8&lt;&gt;"",timeseries!A8,"")</f>
        <v>44624.125</v>
      </c>
      <c r="B8">
        <v>1</v>
      </c>
      <c r="C8">
        <f t="shared" si="0"/>
        <v>1</v>
      </c>
      <c r="D8">
        <v>-0.8</v>
      </c>
      <c r="E8">
        <f t="shared" si="0"/>
        <v>-0.8</v>
      </c>
      <c r="F8">
        <v>0</v>
      </c>
      <c r="G8">
        <f t="shared" ref="G8" si="6">F8</f>
        <v>0</v>
      </c>
      <c r="H8">
        <v>1</v>
      </c>
      <c r="I8">
        <v>1</v>
      </c>
    </row>
    <row r="9" spans="1:9" x14ac:dyDescent="0.3">
      <c r="A9" s="3">
        <f>IF(timeseries!A9&lt;&gt;"",timeseries!A9,"")</f>
        <v>44624.291666666664</v>
      </c>
      <c r="B9">
        <v>1</v>
      </c>
      <c r="C9">
        <f t="shared" si="0"/>
        <v>1</v>
      </c>
      <c r="D9">
        <v>-0.8</v>
      </c>
      <c r="E9">
        <f t="shared" si="0"/>
        <v>-0.8</v>
      </c>
      <c r="F9">
        <v>0</v>
      </c>
      <c r="G9">
        <f t="shared" ref="G9" si="7">F9</f>
        <v>0</v>
      </c>
      <c r="H9">
        <v>1</v>
      </c>
      <c r="I9">
        <v>1</v>
      </c>
    </row>
    <row r="10" spans="1:9" x14ac:dyDescent="0.3">
      <c r="A10" s="3">
        <f>IF(timeseries!A10&lt;&gt;"",timeseries!A10,"")</f>
        <v>44624.458333333336</v>
      </c>
      <c r="B10">
        <v>1</v>
      </c>
      <c r="C10">
        <f t="shared" si="0"/>
        <v>1</v>
      </c>
      <c r="D10">
        <v>-0.8</v>
      </c>
      <c r="E10">
        <f t="shared" si="0"/>
        <v>-0.8</v>
      </c>
      <c r="F10">
        <v>0</v>
      </c>
      <c r="G10">
        <f t="shared" ref="G10" si="8">F10</f>
        <v>0</v>
      </c>
      <c r="H10">
        <v>1</v>
      </c>
      <c r="I10">
        <v>1</v>
      </c>
    </row>
    <row r="11" spans="1:9" x14ac:dyDescent="0.3">
      <c r="A11" s="3" t="str">
        <f>IF(timeseries!A11&lt;&gt;"",timeseries!A11,"")</f>
        <v/>
      </c>
    </row>
    <row r="12" spans="1:9" x14ac:dyDescent="0.3">
      <c r="A12" s="3" t="str">
        <f>IF(timeseries!A12&lt;&gt;"",timeseries!A12,"")</f>
        <v/>
      </c>
    </row>
    <row r="13" spans="1:9" x14ac:dyDescent="0.3">
      <c r="A13" s="3" t="str">
        <f>IF(timeseries!A13&lt;&gt;"",timeseries!A13,"")</f>
        <v/>
      </c>
    </row>
    <row r="14" spans="1:9" x14ac:dyDescent="0.3">
      <c r="A14" s="3" t="str">
        <f>IF(timeseries!A14&lt;&gt;"",timeseries!A14,"")</f>
        <v/>
      </c>
    </row>
    <row r="15" spans="1:9" x14ac:dyDescent="0.3">
      <c r="A15" s="3" t="str">
        <f>IF(timeseries!A15&lt;&gt;"",timeseries!A15,"")</f>
        <v/>
      </c>
    </row>
    <row r="16" spans="1:9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DBA5-B0F3-4E9D-9367-08D5F5FA8AEA}">
  <dimension ref="A1:C25"/>
  <sheetViews>
    <sheetView workbookViewId="0">
      <selection activeCell="E7" sqref="E7"/>
    </sheetView>
  </sheetViews>
  <sheetFormatPr defaultRowHeight="14.4" x14ac:dyDescent="0.3"/>
  <cols>
    <col min="1" max="1" width="19.33203125" style="3" customWidth="1"/>
  </cols>
  <sheetData>
    <row r="1" spans="1:3" x14ac:dyDescent="0.3">
      <c r="A1" s="1" t="s">
        <v>28</v>
      </c>
      <c r="B1" t="s">
        <v>62</v>
      </c>
      <c r="C1" t="s">
        <v>63</v>
      </c>
    </row>
    <row r="2" spans="1:3" x14ac:dyDescent="0.3">
      <c r="A2" s="3">
        <f>IF(timeseries!A2&lt;&gt;"",timeseries!A2,"")</f>
        <v>44624</v>
      </c>
      <c r="B2">
        <v>5</v>
      </c>
      <c r="C2">
        <v>5.9705000000000004</v>
      </c>
    </row>
    <row r="3" spans="1:3" x14ac:dyDescent="0.3">
      <c r="A3" s="3">
        <f>IF(timeseries!A3&lt;&gt;"",timeseries!A3,"")</f>
        <v>44624.010416666664</v>
      </c>
      <c r="B3">
        <v>4.2857142857142856</v>
      </c>
      <c r="C3">
        <v>6.3089000000000004</v>
      </c>
    </row>
    <row r="4" spans="1:3" x14ac:dyDescent="0.3">
      <c r="A4" s="3">
        <f>IF(timeseries!A4&lt;&gt;"",timeseries!A4,"")</f>
        <v>44624.020833333336</v>
      </c>
      <c r="B4">
        <v>4.2857142857142856</v>
      </c>
      <c r="C4">
        <v>6.0133000000000001</v>
      </c>
    </row>
    <row r="5" spans="1:3" x14ac:dyDescent="0.3">
      <c r="A5" s="3">
        <f>IF(timeseries!A5&lt;&gt;"",timeseries!A5,"")</f>
        <v>44624.03125</v>
      </c>
      <c r="B5">
        <v>4.4117647058823533</v>
      </c>
      <c r="C5">
        <v>5.1531000000000002</v>
      </c>
    </row>
    <row r="6" spans="1:3" x14ac:dyDescent="0.3">
      <c r="A6" s="3">
        <f>IF(timeseries!A6&lt;&gt;"",timeseries!A6,"")</f>
        <v>44624.041666666664</v>
      </c>
      <c r="B6">
        <v>4.5454545454545459</v>
      </c>
      <c r="C6">
        <v>6.8680000000000003</v>
      </c>
    </row>
    <row r="7" spans="1:3" x14ac:dyDescent="0.3">
      <c r="A7" s="3">
        <f>IF(timeseries!A7&lt;&gt;"",timeseries!A7,"")</f>
        <v>44624.083333333336</v>
      </c>
      <c r="B7">
        <v>4.6875</v>
      </c>
      <c r="C7">
        <v>6.1234000000000002</v>
      </c>
    </row>
    <row r="8" spans="1:3" x14ac:dyDescent="0.3">
      <c r="A8" s="3">
        <f>IF(timeseries!A8&lt;&gt;"",timeseries!A8,"")</f>
        <v>44624.125</v>
      </c>
      <c r="B8">
        <v>4.838709677419355</v>
      </c>
      <c r="C8">
        <v>5.5724999999999998</v>
      </c>
    </row>
    <row r="9" spans="1:3" x14ac:dyDescent="0.3">
      <c r="A9" s="3">
        <f>IF(timeseries!A9&lt;&gt;"",timeseries!A9,"")</f>
        <v>44624.291666666664</v>
      </c>
      <c r="B9">
        <v>5</v>
      </c>
      <c r="C9">
        <v>4.9116999999999997</v>
      </c>
    </row>
    <row r="10" spans="1:3" x14ac:dyDescent="0.3">
      <c r="A10" s="3">
        <f>IF(timeseries!A10&lt;&gt;"",timeseries!A10,"")</f>
        <v>44624.458333333336</v>
      </c>
      <c r="B10">
        <v>6</v>
      </c>
      <c r="C10">
        <v>5.7545000000000002</v>
      </c>
    </row>
    <row r="11" spans="1:3" x14ac:dyDescent="0.3">
      <c r="A11" s="3" t="str">
        <f>IF(timeseries!A11&lt;&gt;"",timeseries!A11,"")</f>
        <v/>
      </c>
    </row>
    <row r="12" spans="1:3" x14ac:dyDescent="0.3">
      <c r="A12" s="3" t="str">
        <f>IF(timeseries!A12&lt;&gt;"",timeseries!A12,"")</f>
        <v/>
      </c>
    </row>
    <row r="13" spans="1:3" x14ac:dyDescent="0.3">
      <c r="A13" s="3" t="str">
        <f>IF(timeseries!A13&lt;&gt;"",timeseries!A13,"")</f>
        <v/>
      </c>
    </row>
    <row r="14" spans="1:3" x14ac:dyDescent="0.3">
      <c r="A14" s="3" t="str">
        <f>IF(timeseries!A14&lt;&gt;"",timeseries!A14,"")</f>
        <v/>
      </c>
    </row>
    <row r="15" spans="1:3" x14ac:dyDescent="0.3">
      <c r="A15" s="3" t="str">
        <f>IF(timeseries!A15&lt;&gt;"",timeseries!A15,"")</f>
        <v/>
      </c>
    </row>
    <row r="16" spans="1:3" x14ac:dyDescent="0.3">
      <c r="A16" s="3" t="str">
        <f>IF(timeseries!A16&lt;&gt;"",timeseries!A16,"")</f>
        <v/>
      </c>
    </row>
    <row r="17" spans="1:1" x14ac:dyDescent="0.3">
      <c r="A17" s="3" t="str">
        <f>IF(timeseries!A17&lt;&gt;"",timeseries!A17,"")</f>
        <v/>
      </c>
    </row>
    <row r="18" spans="1:1" x14ac:dyDescent="0.3">
      <c r="A18" s="3" t="str">
        <f>IF(timeseries!A18&lt;&gt;"",timeseries!A18,"")</f>
        <v/>
      </c>
    </row>
    <row r="19" spans="1:1" x14ac:dyDescent="0.3">
      <c r="A19" s="3" t="str">
        <f>IF(timeseries!A19&lt;&gt;"",timeseries!A19,"")</f>
        <v/>
      </c>
    </row>
    <row r="20" spans="1:1" x14ac:dyDescent="0.3">
      <c r="A20" s="3" t="str">
        <f>IF(timeseries!A20&lt;&gt;"",timeseries!A20,"")</f>
        <v/>
      </c>
    </row>
    <row r="21" spans="1:1" x14ac:dyDescent="0.3">
      <c r="A21" s="3" t="str">
        <f>IF(timeseries!A21&lt;&gt;"",timeseries!A21,"")</f>
        <v/>
      </c>
    </row>
    <row r="22" spans="1:1" x14ac:dyDescent="0.3">
      <c r="A22" s="3" t="str">
        <f>IF(timeseries!A22&lt;&gt;"",timeseries!A22,"")</f>
        <v/>
      </c>
    </row>
    <row r="23" spans="1:1" x14ac:dyDescent="0.3">
      <c r="A23" s="3" t="str">
        <f>IF(timeseries!A23&lt;&gt;"",timeseries!A23,"")</f>
        <v/>
      </c>
    </row>
    <row r="24" spans="1:1" x14ac:dyDescent="0.3">
      <c r="A24" s="3" t="str">
        <f>IF(timeseries!A24&lt;&gt;"",timeseries!A24,"")</f>
        <v/>
      </c>
    </row>
    <row r="25" spans="1:1" x14ac:dyDescent="0.3">
      <c r="A25" s="3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timeseries</vt:lpstr>
      <vt:lpstr>time_horizon</vt:lpstr>
      <vt:lpstr>setup</vt:lpstr>
      <vt:lpstr>nodes</vt:lpstr>
      <vt:lpstr>processes</vt:lpstr>
      <vt:lpstr>groups</vt:lpstr>
      <vt:lpstr>efficiencies</vt:lpstr>
      <vt:lpstr>process_topology</vt:lpstr>
      <vt:lpstr>node_history</vt:lpstr>
      <vt:lpstr>node_delay</vt:lpstr>
      <vt:lpstr>node_diffusion</vt:lpstr>
      <vt:lpstr>reserve_type</vt:lpstr>
      <vt:lpstr>cf</vt:lpstr>
      <vt:lpstr>inflow</vt:lpstr>
      <vt:lpstr>inflow_blocks</vt:lpstr>
      <vt:lpstr>flex_inflow</vt:lpstr>
      <vt:lpstr>price</vt:lpstr>
      <vt:lpstr>markets</vt:lpstr>
      <vt:lpstr>reserve_realisation</vt:lpstr>
      <vt:lpstr>market_prices</vt:lpstr>
      <vt:lpstr>balance_prices</vt:lpstr>
      <vt:lpstr>reserve_activation_price</vt:lpstr>
      <vt:lpstr>bid_slots</vt:lpstr>
      <vt:lpstr>risk</vt:lpstr>
      <vt:lpstr>scenarios</vt:lpstr>
      <vt:lpstr>fixed_ts</vt:lpstr>
      <vt:lpstr>eff_ts</vt:lpstr>
      <vt:lpstr>constraints</vt:lpstr>
      <vt:lpstr>gen_constraint</vt:lpstr>
      <vt:lpstr>cap_ts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Sundell Dennis</dc:creator>
  <cp:lastModifiedBy>Sundell Dennis</cp:lastModifiedBy>
  <dcterms:created xsi:type="dcterms:W3CDTF">2021-10-20T07:57:58Z</dcterms:created>
  <dcterms:modified xsi:type="dcterms:W3CDTF">2025-04-25T11:28:40Z</dcterms:modified>
</cp:coreProperties>
</file>